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17AE2F1C-4B85-41CE-B15F-AF6E29F640DC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H290" i="1"/>
  <c r="H402" i="1"/>
  <c r="H413" i="1"/>
  <c r="H391" i="1"/>
  <c r="J71" i="1"/>
  <c r="H145" i="1"/>
  <c r="H126" i="1"/>
  <c r="H472" i="1"/>
  <c r="H242" i="1"/>
  <c r="H108" i="1"/>
  <c r="H168" i="1"/>
  <c r="H94" i="1"/>
  <c r="H101" i="1"/>
  <c r="H420" i="1"/>
  <c r="H410" i="1"/>
  <c r="H485" i="1"/>
  <c r="H51" i="1"/>
  <c r="J81" i="1"/>
  <c r="H419" i="1"/>
  <c r="H460" i="1"/>
  <c r="H264" i="1"/>
  <c r="H268" i="1"/>
  <c r="H500" i="1"/>
  <c r="H465" i="1"/>
  <c r="H320" i="1"/>
  <c r="H87" i="1"/>
  <c r="H415" i="1"/>
  <c r="H326" i="1"/>
  <c r="H468" i="1"/>
  <c r="H346" i="1"/>
  <c r="H446" i="1"/>
  <c r="H194" i="1"/>
  <c r="H249" i="1"/>
  <c r="H299" i="1"/>
  <c r="H263" i="1"/>
  <c r="H92" i="1"/>
  <c r="H155" i="1"/>
  <c r="H449" i="1"/>
  <c r="H333" i="1"/>
  <c r="H161" i="1"/>
  <c r="H193" i="1"/>
  <c r="H310" i="1"/>
  <c r="H395" i="1"/>
  <c r="H33" i="1"/>
  <c r="H18" i="1"/>
  <c r="J476" i="1"/>
  <c r="H34" i="1"/>
  <c r="H271" i="1"/>
  <c r="H151" i="1"/>
  <c r="H204" i="1"/>
  <c r="H239" i="1"/>
  <c r="H125" i="1"/>
  <c r="H189" i="1"/>
  <c r="J431" i="1"/>
  <c r="H418" i="1"/>
  <c r="H221" i="1"/>
  <c r="H218" i="1"/>
  <c r="H285" i="1"/>
  <c r="H79" i="1"/>
  <c r="H301" i="1"/>
  <c r="H196" i="1"/>
  <c r="J151" i="1"/>
  <c r="H78" i="1"/>
  <c r="H97" i="1"/>
  <c r="H461" i="1"/>
  <c r="H370" i="1"/>
  <c r="H7" i="1"/>
  <c r="H332" i="1"/>
  <c r="H359" i="1"/>
  <c r="H47" i="1"/>
  <c r="H139" i="1"/>
  <c r="H384" i="1"/>
  <c r="H89" i="1"/>
  <c r="J141" i="1"/>
  <c r="H494" i="1"/>
  <c r="J336" i="1"/>
  <c r="J181" i="1"/>
  <c r="H198" i="1"/>
  <c r="H348" i="1"/>
  <c r="H71" i="1"/>
  <c r="H95" i="1"/>
  <c r="H479" i="1"/>
  <c r="H375" i="1"/>
  <c r="H497" i="1"/>
  <c r="H243" i="1"/>
  <c r="H411" i="1"/>
  <c r="H180" i="1"/>
  <c r="H183" i="1"/>
  <c r="H213" i="1"/>
  <c r="H135" i="1"/>
  <c r="H457" i="1"/>
  <c r="H296" i="1"/>
  <c r="J271" i="1"/>
  <c r="J176" i="1"/>
  <c r="H371" i="1"/>
  <c r="H321" i="1"/>
  <c r="H11" i="1"/>
  <c r="H437" i="1"/>
  <c r="H3" i="1"/>
  <c r="H211" i="1"/>
  <c r="H295" i="1"/>
  <c r="H241" i="1"/>
  <c r="H279" i="1"/>
  <c r="H98" i="1"/>
  <c r="J351" i="1"/>
  <c r="H414" i="1"/>
  <c r="H163" i="1"/>
  <c r="H476" i="1"/>
  <c r="H431" i="1"/>
  <c r="H338" i="1"/>
  <c r="J156" i="1"/>
  <c r="H421" i="1"/>
  <c r="J11" i="1"/>
  <c r="J86" i="1"/>
  <c r="J76" i="1"/>
  <c r="H245" i="1"/>
  <c r="H116" i="1"/>
  <c r="H103" i="1"/>
  <c r="H164" i="1"/>
  <c r="H478" i="1"/>
  <c r="H464" i="1"/>
  <c r="J6" i="1"/>
  <c r="H43" i="1"/>
  <c r="H178" i="1"/>
  <c r="H16" i="1"/>
  <c r="H300" i="1"/>
  <c r="H25" i="1"/>
  <c r="H394" i="1"/>
  <c r="H383" i="1"/>
  <c r="H387" i="1"/>
  <c r="H165" i="1"/>
  <c r="J326" i="1"/>
  <c r="J31" i="1"/>
  <c r="H491" i="1"/>
  <c r="H227" i="1"/>
  <c r="H159" i="1"/>
  <c r="H171" i="1"/>
  <c r="H284" i="1"/>
  <c r="J311" i="1"/>
  <c r="J186" i="1"/>
  <c r="H150" i="1"/>
  <c r="J486" i="1"/>
  <c r="H265" i="1"/>
  <c r="H228" i="1"/>
  <c r="H85" i="1"/>
  <c r="H90" i="1"/>
  <c r="J436" i="1"/>
  <c r="H2" i="1"/>
  <c r="H456" i="1"/>
  <c r="H309" i="1"/>
  <c r="H202" i="1"/>
  <c r="H412" i="1"/>
  <c r="H462" i="1"/>
  <c r="H230" i="1"/>
  <c r="H325" i="1"/>
  <c r="H307" i="1"/>
  <c r="H48" i="1"/>
  <c r="H453" i="1"/>
  <c r="H156" i="1"/>
  <c r="H262" i="1"/>
  <c r="H353" i="1"/>
  <c r="H340" i="1"/>
  <c r="H4" i="1"/>
  <c r="H36" i="1"/>
  <c r="J41" i="1"/>
  <c r="H288" i="1"/>
  <c r="H495" i="1"/>
  <c r="H214" i="1"/>
  <c r="H432" i="1"/>
  <c r="H190" i="1"/>
  <c r="H459" i="1"/>
  <c r="H208" i="1"/>
  <c r="H423" i="1"/>
  <c r="H463" i="1"/>
  <c r="H158" i="1"/>
  <c r="H334" i="1"/>
  <c r="H197" i="1"/>
  <c r="H398" i="1"/>
  <c r="J461" i="1"/>
  <c r="H102" i="1"/>
  <c r="H289" i="1"/>
  <c r="H10" i="1"/>
  <c r="J266" i="1"/>
  <c r="J391" i="1"/>
  <c r="J26" i="1"/>
  <c r="H106" i="1"/>
  <c r="J441" i="1"/>
  <c r="H416" i="1"/>
  <c r="H256" i="1"/>
  <c r="H66" i="1"/>
  <c r="J411" i="1"/>
  <c r="J331" i="1"/>
  <c r="H8" i="1"/>
  <c r="J376" i="1"/>
  <c r="H154" i="1"/>
  <c r="H65" i="1"/>
  <c r="H482" i="1"/>
  <c r="H15" i="1"/>
  <c r="H192" i="1"/>
  <c r="J226" i="1"/>
  <c r="J46" i="1"/>
  <c r="H131" i="1"/>
  <c r="H473" i="1"/>
  <c r="H339" i="1"/>
  <c r="H257" i="1"/>
  <c r="H329" i="1"/>
  <c r="H195" i="1"/>
  <c r="H486" i="1"/>
  <c r="H343" i="1"/>
  <c r="H355" i="1"/>
  <c r="J246" i="1"/>
  <c r="H235" i="1"/>
  <c r="H49" i="1"/>
  <c r="H352" i="1"/>
  <c r="J501" i="1"/>
  <c r="H266" i="1"/>
  <c r="J256" i="1"/>
  <c r="H73" i="1"/>
  <c r="H140" i="1"/>
  <c r="H72" i="1"/>
  <c r="H373" i="1"/>
  <c r="H474" i="1"/>
  <c r="J396" i="1"/>
  <c r="J126" i="1"/>
  <c r="H224" i="1"/>
  <c r="H466" i="1"/>
  <c r="J306" i="1"/>
  <c r="H153" i="1"/>
  <c r="H53" i="1"/>
  <c r="H253" i="1"/>
  <c r="H237" i="1"/>
  <c r="H75" i="1"/>
  <c r="J496" i="1"/>
  <c r="H29" i="1"/>
  <c r="H22" i="1"/>
  <c r="H19" i="1"/>
  <c r="J491" i="1"/>
  <c r="H44" i="1"/>
  <c r="H50" i="1"/>
  <c r="H318" i="1"/>
  <c r="H175" i="1"/>
  <c r="H440" i="1"/>
  <c r="J221" i="1"/>
  <c r="H38" i="1"/>
  <c r="H109" i="1"/>
  <c r="J321" i="1"/>
  <c r="H379" i="1"/>
  <c r="H380" i="1"/>
  <c r="H501" i="1"/>
  <c r="H132" i="1"/>
  <c r="H427" i="1"/>
  <c r="H259" i="1"/>
  <c r="H162" i="1"/>
  <c r="J421" i="1"/>
  <c r="H438" i="1"/>
  <c r="J136" i="1"/>
  <c r="H86" i="1"/>
  <c r="H367" i="1"/>
  <c r="H91" i="1"/>
  <c r="H448" i="1"/>
  <c r="H404" i="1"/>
  <c r="H55" i="1"/>
  <c r="H292" i="1"/>
  <c r="H5" i="1"/>
  <c r="H14" i="1"/>
  <c r="H169" i="1"/>
  <c r="H143" i="1"/>
  <c r="H407" i="1"/>
  <c r="H84" i="1"/>
  <c r="H184" i="1"/>
  <c r="H409" i="1"/>
  <c r="H313" i="1"/>
  <c r="H388" i="1"/>
  <c r="H37" i="1"/>
  <c r="H62" i="1"/>
  <c r="H105" i="1"/>
  <c r="H80" i="1"/>
  <c r="H130" i="1"/>
  <c r="H481" i="1"/>
  <c r="H69" i="1"/>
  <c r="H223" i="1"/>
  <c r="H142" i="1"/>
  <c r="H258" i="1"/>
  <c r="H234" i="1"/>
  <c r="H111" i="1"/>
  <c r="H205" i="1"/>
  <c r="J456" i="1"/>
  <c r="H83" i="1"/>
  <c r="H493" i="1"/>
  <c r="H489" i="1"/>
  <c r="H176" i="1"/>
  <c r="J61" i="1"/>
  <c r="J241" i="1"/>
  <c r="H128" i="1"/>
  <c r="J466" i="1"/>
  <c r="H430" i="1"/>
  <c r="H477" i="1"/>
  <c r="H252" i="1"/>
  <c r="J206" i="1"/>
  <c r="J56" i="1"/>
  <c r="H490" i="1"/>
  <c r="H123" i="1"/>
  <c r="H206" i="1"/>
  <c r="H451" i="1"/>
  <c r="J286" i="1"/>
  <c r="H328" i="1"/>
  <c r="H182" i="1"/>
  <c r="H26" i="1"/>
  <c r="H276" i="1"/>
  <c r="J251" i="1"/>
  <c r="H68" i="1"/>
  <c r="H368" i="1"/>
  <c r="H166" i="1"/>
  <c r="H424" i="1"/>
  <c r="J316" i="1"/>
  <c r="H382" i="1"/>
  <c r="H397" i="1"/>
  <c r="J366" i="1"/>
  <c r="H291" i="1"/>
  <c r="H236" i="1"/>
  <c r="J191" i="1"/>
  <c r="H386" i="1"/>
  <c r="H357" i="1"/>
  <c r="J21" i="1"/>
  <c r="H63" i="1"/>
  <c r="H82" i="1"/>
  <c r="H58" i="1"/>
  <c r="J201" i="1"/>
  <c r="H434" i="1"/>
  <c r="H356" i="1"/>
  <c r="H396" i="1"/>
  <c r="H40" i="1"/>
  <c r="H118" i="1"/>
  <c r="H124" i="1"/>
  <c r="H248" i="1"/>
  <c r="J446" i="1"/>
  <c r="H344" i="1"/>
  <c r="H60" i="1"/>
  <c r="J101" i="1"/>
  <c r="H385" i="1"/>
  <c r="H67" i="1"/>
  <c r="J231" i="1"/>
  <c r="J111" i="1"/>
  <c r="H20" i="1"/>
  <c r="H390" i="1"/>
  <c r="H399" i="1"/>
  <c r="H27" i="1"/>
  <c r="H212" i="1"/>
  <c r="J381" i="1"/>
  <c r="H244" i="1"/>
  <c r="H46" i="1"/>
  <c r="H422" i="1"/>
  <c r="H96" i="1"/>
  <c r="H392" i="1"/>
  <c r="J416" i="1"/>
  <c r="H323" i="1"/>
  <c r="H305" i="1"/>
  <c r="H104" i="1"/>
  <c r="H358" i="1"/>
  <c r="H425" i="1"/>
  <c r="H216" i="1"/>
  <c r="H337" i="1"/>
  <c r="H122" i="1"/>
  <c r="H347" i="1"/>
  <c r="H361" i="1"/>
  <c r="H233" i="1"/>
  <c r="H138" i="1"/>
  <c r="H304" i="1"/>
  <c r="J171" i="1"/>
  <c r="H210" i="1"/>
  <c r="H93" i="1"/>
  <c r="H57" i="1"/>
  <c r="H203" i="1"/>
  <c r="H115" i="1"/>
  <c r="H188" i="1"/>
  <c r="H21" i="1"/>
  <c r="H498" i="1"/>
  <c r="H120" i="1"/>
  <c r="H278" i="1"/>
  <c r="H319" i="1"/>
  <c r="H312" i="1"/>
  <c r="H471" i="1"/>
  <c r="H70" i="1"/>
  <c r="H100" i="1"/>
  <c r="H455" i="1"/>
  <c r="H181" i="1"/>
  <c r="J36" i="1"/>
  <c r="J481" i="1"/>
  <c r="H141" i="1"/>
  <c r="H354" i="1"/>
  <c r="H311" i="1"/>
  <c r="H470" i="1"/>
  <c r="H492" i="1"/>
  <c r="H447" i="1"/>
  <c r="H13" i="1"/>
  <c r="J341" i="1"/>
  <c r="H149" i="1"/>
  <c r="H220" i="1"/>
  <c r="H185" i="1"/>
  <c r="H445" i="1"/>
  <c r="J16" i="1"/>
  <c r="H119" i="1"/>
  <c r="H429" i="1"/>
  <c r="H444" i="1"/>
  <c r="H336" i="1"/>
  <c r="H199" i="1"/>
  <c r="H251" i="1"/>
  <c r="J386" i="1"/>
  <c r="H349" i="1"/>
  <c r="H232" i="1"/>
  <c r="H52" i="1"/>
  <c r="H134" i="1"/>
  <c r="H226" i="1"/>
  <c r="H174" i="1"/>
  <c r="J116" i="1"/>
  <c r="H360" i="1"/>
  <c r="H209" i="1"/>
  <c r="H255" i="1"/>
  <c r="H88" i="1"/>
  <c r="H377" i="1"/>
  <c r="H469" i="1"/>
  <c r="H286" i="1"/>
  <c r="H280" i="1"/>
  <c r="H345" i="1"/>
  <c r="H331" i="1"/>
  <c r="H294" i="1"/>
  <c r="J106" i="1"/>
  <c r="H364" i="1"/>
  <c r="H30" i="1"/>
  <c r="H405" i="1"/>
  <c r="H179" i="1"/>
  <c r="H32" i="1"/>
  <c r="J196" i="1"/>
  <c r="H136" i="1"/>
  <c r="H342" i="1"/>
  <c r="H217" i="1"/>
  <c r="J236" i="1"/>
  <c r="J356" i="1"/>
  <c r="J66" i="1"/>
  <c r="H351" i="1"/>
  <c r="H433" i="1"/>
  <c r="H137" i="1"/>
  <c r="H436" i="1"/>
  <c r="J471" i="1"/>
  <c r="H129" i="1"/>
  <c r="H435" i="1"/>
  <c r="H403" i="1"/>
  <c r="J161" i="1"/>
  <c r="H28" i="1"/>
  <c r="J451" i="1"/>
  <c r="H74" i="1"/>
  <c r="H207" i="1"/>
  <c r="H127" i="1"/>
  <c r="H167" i="1"/>
  <c r="H261" i="1"/>
  <c r="H369" i="1"/>
  <c r="H229" i="1"/>
  <c r="H225" i="1"/>
  <c r="H487" i="1"/>
  <c r="J166" i="1"/>
  <c r="H452" i="1"/>
  <c r="H308" i="1"/>
  <c r="J211" i="1"/>
  <c r="J216" i="1"/>
  <c r="H173" i="1"/>
  <c r="H269" i="1"/>
  <c r="H177" i="1"/>
  <c r="J281" i="1"/>
  <c r="H283" i="1"/>
  <c r="H9" i="1"/>
  <c r="H483" i="1"/>
  <c r="H152" i="1"/>
  <c r="H315" i="1"/>
  <c r="H247" i="1"/>
  <c r="H372" i="1"/>
  <c r="H335" i="1"/>
  <c r="H24" i="1"/>
  <c r="H306" i="1"/>
  <c r="J346" i="1"/>
  <c r="H443" i="1"/>
  <c r="H274" i="1"/>
  <c r="H200" i="1"/>
  <c r="H121" i="1"/>
  <c r="H240" i="1"/>
  <c r="J371" i="1"/>
  <c r="H480" i="1"/>
  <c r="H117" i="1"/>
  <c r="H144" i="1"/>
  <c r="H35" i="1"/>
  <c r="H293" i="1"/>
  <c r="J96" i="1"/>
  <c r="H219" i="1"/>
  <c r="H381" i="1"/>
  <c r="H42" i="1"/>
  <c r="J361" i="1"/>
  <c r="H273" i="1"/>
  <c r="H428" i="1"/>
  <c r="H297" i="1"/>
  <c r="J401" i="1"/>
  <c r="H363" i="1"/>
  <c r="H378" i="1"/>
  <c r="H408" i="1"/>
  <c r="H56" i="1"/>
  <c r="H365" i="1"/>
  <c r="H147" i="1"/>
  <c r="H254" i="1"/>
  <c r="H114" i="1"/>
  <c r="H222" i="1"/>
  <c r="J146" i="1"/>
  <c r="H272" i="1"/>
  <c r="J121" i="1"/>
  <c r="H439" i="1"/>
  <c r="H401" i="1"/>
  <c r="H250" i="1"/>
  <c r="H324" i="1"/>
  <c r="H191" i="1"/>
  <c r="H186" i="1"/>
  <c r="H400" i="1"/>
  <c r="H107" i="1"/>
  <c r="H282" i="1"/>
  <c r="H157" i="1"/>
  <c r="H330" i="1"/>
  <c r="H238" i="1"/>
  <c r="H458" i="1"/>
  <c r="H54" i="1"/>
  <c r="H484" i="1"/>
  <c r="H393" i="1"/>
  <c r="J426" i="1"/>
  <c r="H45" i="1"/>
  <c r="H442" i="1"/>
  <c r="H317" i="1"/>
  <c r="H316" i="1"/>
  <c r="H77" i="1"/>
  <c r="H467" i="1"/>
  <c r="H366" i="1"/>
  <c r="J406" i="1"/>
  <c r="H6" i="1"/>
  <c r="H64" i="1"/>
  <c r="H160" i="1"/>
  <c r="J261" i="1"/>
  <c r="J291" i="1"/>
  <c r="H374" i="1"/>
  <c r="H148" i="1"/>
  <c r="H287" i="1"/>
  <c r="H322" i="1"/>
  <c r="J91" i="1"/>
  <c r="H17" i="1"/>
  <c r="H59" i="1"/>
  <c r="H488" i="1"/>
  <c r="H23" i="1"/>
  <c r="J51" i="1"/>
  <c r="H61" i="1"/>
  <c r="H170" i="1"/>
  <c r="H350" i="1"/>
  <c r="H99" i="1"/>
  <c r="H231" i="1"/>
  <c r="H277" i="1"/>
  <c r="H362" i="1"/>
  <c r="H260" i="1"/>
  <c r="H450" i="1"/>
  <c r="H81" i="1"/>
  <c r="H389" i="1"/>
  <c r="J296" i="1"/>
  <c r="H76" i="1"/>
  <c r="H341" i="1"/>
  <c r="H454" i="1"/>
  <c r="H41" i="1"/>
  <c r="H187" i="1"/>
  <c r="H39" i="1"/>
  <c r="H499" i="1"/>
  <c r="H12" i="1"/>
  <c r="H406" i="1"/>
  <c r="J276" i="1"/>
  <c r="H275" i="1"/>
  <c r="H201" i="1"/>
  <c r="H496" i="1"/>
  <c r="H417" i="1"/>
  <c r="H133" i="1"/>
  <c r="H113" i="1"/>
  <c r="H298" i="1"/>
  <c r="H327" i="1"/>
  <c r="H302" i="1"/>
  <c r="H31" i="1"/>
  <c r="H172" i="1"/>
  <c r="H314" i="1"/>
  <c r="H110" i="1"/>
  <c r="H270" i="1"/>
  <c r="H281" i="1"/>
  <c r="H426" i="1"/>
  <c r="H441" i="1"/>
  <c r="H267" i="1"/>
  <c r="J301" i="1"/>
  <c r="H475" i="1"/>
  <c r="H246" i="1"/>
  <c r="H146" i="1"/>
  <c r="H215" i="1"/>
  <c r="J131" i="1"/>
  <c r="H376" i="1"/>
  <c r="H112" i="1"/>
  <c r="H303" i="1"/>
  <c r="I303" i="1" l="1"/>
  <c r="I112" i="1"/>
  <c r="I376" i="1"/>
  <c r="I215" i="1"/>
  <c r="I146" i="1"/>
  <c r="I246" i="1"/>
  <c r="I475" i="1"/>
  <c r="I267" i="1"/>
  <c r="I441" i="1"/>
  <c r="I426" i="1"/>
  <c r="I281" i="1"/>
  <c r="I270" i="1"/>
  <c r="I110" i="1"/>
  <c r="I314" i="1"/>
  <c r="I172" i="1"/>
  <c r="I31" i="1"/>
  <c r="I302" i="1"/>
  <c r="I327" i="1"/>
  <c r="I298" i="1"/>
  <c r="I113" i="1"/>
  <c r="I133" i="1"/>
  <c r="I417" i="1"/>
  <c r="I496" i="1"/>
  <c r="I201" i="1"/>
  <c r="I275" i="1"/>
  <c r="I406" i="1"/>
  <c r="I12" i="1"/>
  <c r="I499" i="1"/>
  <c r="I39" i="1"/>
  <c r="I187" i="1"/>
  <c r="I41" i="1"/>
  <c r="I454" i="1"/>
  <c r="I341" i="1"/>
  <c r="I76" i="1"/>
  <c r="I389" i="1"/>
  <c r="I81" i="1"/>
  <c r="I450" i="1"/>
  <c r="I260" i="1"/>
  <c r="I362" i="1"/>
  <c r="I277" i="1"/>
  <c r="I231" i="1"/>
  <c r="I99" i="1"/>
  <c r="I350" i="1"/>
  <c r="I170" i="1"/>
  <c r="I61" i="1"/>
  <c r="I23" i="1"/>
  <c r="I488" i="1"/>
  <c r="I59" i="1"/>
  <c r="I17" i="1"/>
  <c r="I322" i="1"/>
  <c r="I287" i="1"/>
  <c r="I148" i="1"/>
  <c r="I374" i="1"/>
  <c r="I160" i="1"/>
  <c r="I64" i="1"/>
  <c r="I6" i="1"/>
  <c r="I366" i="1"/>
  <c r="I467" i="1"/>
  <c r="I77" i="1"/>
  <c r="I316" i="1"/>
  <c r="I317" i="1"/>
  <c r="I442" i="1"/>
  <c r="I45" i="1"/>
  <c r="I393" i="1"/>
  <c r="I484" i="1"/>
  <c r="I54" i="1"/>
  <c r="I458" i="1"/>
  <c r="I238" i="1"/>
  <c r="I330" i="1"/>
  <c r="I157" i="1"/>
  <c r="I282" i="1"/>
  <c r="I107" i="1"/>
  <c r="I400" i="1"/>
  <c r="I186" i="1"/>
  <c r="I191" i="1"/>
  <c r="I324" i="1"/>
  <c r="I250" i="1"/>
  <c r="I401" i="1"/>
  <c r="I439" i="1"/>
  <c r="I272" i="1"/>
  <c r="I222" i="1"/>
  <c r="I114" i="1"/>
  <c r="I254" i="1"/>
  <c r="I147" i="1"/>
  <c r="I365" i="1"/>
  <c r="I56" i="1"/>
  <c r="I408" i="1"/>
  <c r="I378" i="1"/>
  <c r="I363" i="1"/>
  <c r="I297" i="1"/>
  <c r="I428" i="1"/>
  <c r="I273" i="1"/>
  <c r="I42" i="1"/>
  <c r="I381" i="1"/>
  <c r="I219" i="1"/>
  <c r="I293" i="1"/>
  <c r="I35" i="1"/>
  <c r="I144" i="1"/>
  <c r="I117" i="1"/>
  <c r="I480" i="1"/>
  <c r="I240" i="1"/>
  <c r="I121" i="1"/>
  <c r="I200" i="1"/>
  <c r="I274" i="1"/>
  <c r="I443" i="1"/>
  <c r="I306" i="1"/>
  <c r="I24" i="1"/>
  <c r="I335" i="1"/>
  <c r="I372" i="1"/>
  <c r="I247" i="1"/>
  <c r="I315" i="1"/>
  <c r="I152" i="1"/>
  <c r="I483" i="1"/>
  <c r="I9" i="1"/>
  <c r="I283" i="1"/>
  <c r="I177" i="1"/>
  <c r="I269" i="1"/>
  <c r="I173" i="1"/>
  <c r="I308" i="1"/>
  <c r="I452" i="1"/>
  <c r="I487" i="1"/>
  <c r="I225" i="1"/>
  <c r="I229" i="1"/>
  <c r="I369" i="1"/>
  <c r="I261" i="1"/>
  <c r="I167" i="1"/>
  <c r="I127" i="1"/>
  <c r="I207" i="1"/>
  <c r="I74" i="1"/>
  <c r="I28" i="1"/>
  <c r="I403" i="1"/>
  <c r="I435" i="1"/>
  <c r="I129" i="1"/>
  <c r="I436" i="1"/>
  <c r="I137" i="1"/>
  <c r="I433" i="1"/>
  <c r="I351" i="1"/>
  <c r="I217" i="1"/>
  <c r="I342" i="1"/>
  <c r="I136" i="1"/>
  <c r="I32" i="1"/>
  <c r="I179" i="1"/>
  <c r="I405" i="1"/>
  <c r="I30" i="1"/>
  <c r="I364" i="1"/>
  <c r="I294" i="1"/>
  <c r="I331" i="1"/>
  <c r="I345" i="1"/>
  <c r="I280" i="1"/>
  <c r="I286" i="1"/>
  <c r="I469" i="1"/>
  <c r="I377" i="1"/>
  <c r="I88" i="1"/>
  <c r="I255" i="1"/>
  <c r="I209" i="1"/>
  <c r="I360" i="1"/>
  <c r="I174" i="1"/>
  <c r="I226" i="1"/>
  <c r="I134" i="1"/>
  <c r="I52" i="1"/>
  <c r="I232" i="1"/>
  <c r="I349" i="1"/>
  <c r="I251" i="1"/>
  <c r="I199" i="1"/>
  <c r="I336" i="1"/>
  <c r="I444" i="1"/>
  <c r="I429" i="1"/>
  <c r="I119" i="1"/>
  <c r="I445" i="1"/>
  <c r="I185" i="1"/>
  <c r="I220" i="1"/>
  <c r="I149" i="1"/>
  <c r="I13" i="1"/>
  <c r="I447" i="1"/>
  <c r="I492" i="1"/>
  <c r="I470" i="1"/>
  <c r="I311" i="1"/>
  <c r="I354" i="1"/>
  <c r="I141" i="1"/>
  <c r="I181" i="1"/>
  <c r="I455" i="1"/>
  <c r="I100" i="1"/>
  <c r="I70" i="1"/>
  <c r="I471" i="1"/>
  <c r="I312" i="1"/>
  <c r="I319" i="1"/>
  <c r="I278" i="1"/>
  <c r="I120" i="1"/>
  <c r="I498" i="1"/>
  <c r="I21" i="1"/>
  <c r="I188" i="1"/>
  <c r="I115" i="1"/>
  <c r="I203" i="1"/>
  <c r="I57" i="1"/>
  <c r="I93" i="1"/>
  <c r="I210" i="1"/>
  <c r="I304" i="1"/>
  <c r="I138" i="1"/>
  <c r="I233" i="1"/>
  <c r="I361" i="1"/>
  <c r="I347" i="1"/>
  <c r="I122" i="1"/>
  <c r="I337" i="1"/>
  <c r="I216" i="1"/>
  <c r="I425" i="1"/>
  <c r="I358" i="1"/>
  <c r="I104" i="1"/>
  <c r="I305" i="1"/>
  <c r="I323" i="1"/>
  <c r="I392" i="1"/>
  <c r="I96" i="1"/>
  <c r="I422" i="1"/>
  <c r="I46" i="1"/>
  <c r="I244" i="1"/>
  <c r="I212" i="1"/>
  <c r="I27" i="1"/>
  <c r="I399" i="1"/>
  <c r="I390" i="1"/>
  <c r="I20" i="1"/>
  <c r="I67" i="1"/>
  <c r="I385" i="1"/>
  <c r="I60" i="1"/>
  <c r="I344" i="1"/>
  <c r="I248" i="1"/>
  <c r="I124" i="1"/>
  <c r="I118" i="1"/>
  <c r="I40" i="1"/>
  <c r="I396" i="1"/>
  <c r="I356" i="1"/>
  <c r="I434" i="1"/>
  <c r="I58" i="1"/>
  <c r="I82" i="1"/>
  <c r="I63" i="1"/>
  <c r="I357" i="1"/>
  <c r="I386" i="1"/>
  <c r="I236" i="1"/>
  <c r="I291" i="1"/>
  <c r="I397" i="1"/>
  <c r="I382" i="1"/>
  <c r="I424" i="1"/>
  <c r="I166" i="1"/>
  <c r="I368" i="1"/>
  <c r="I68" i="1"/>
  <c r="I276" i="1"/>
  <c r="I26" i="1"/>
  <c r="I182" i="1"/>
  <c r="I328" i="1"/>
  <c r="I451" i="1"/>
  <c r="I206" i="1"/>
  <c r="I123" i="1"/>
  <c r="I490" i="1"/>
  <c r="I252" i="1"/>
  <c r="I477" i="1"/>
  <c r="I430" i="1"/>
  <c r="I128" i="1"/>
  <c r="I176" i="1"/>
  <c r="I489" i="1"/>
  <c r="I493" i="1"/>
  <c r="I83" i="1"/>
  <c r="I205" i="1"/>
  <c r="I111" i="1"/>
  <c r="I234" i="1"/>
  <c r="I258" i="1"/>
  <c r="I142" i="1"/>
  <c r="I223" i="1"/>
  <c r="I69" i="1"/>
  <c r="I481" i="1"/>
  <c r="I130" i="1"/>
  <c r="I80" i="1"/>
  <c r="I105" i="1"/>
  <c r="I62" i="1"/>
  <c r="I37" i="1"/>
  <c r="I388" i="1"/>
  <c r="I313" i="1"/>
  <c r="I409" i="1"/>
  <c r="I184" i="1"/>
  <c r="I84" i="1"/>
  <c r="I407" i="1"/>
  <c r="I143" i="1"/>
  <c r="I169" i="1"/>
  <c r="I14" i="1"/>
  <c r="I5" i="1"/>
  <c r="I292" i="1"/>
  <c r="I55" i="1"/>
  <c r="I404" i="1"/>
  <c r="I448" i="1"/>
  <c r="I91" i="1"/>
  <c r="I367" i="1"/>
  <c r="I86" i="1"/>
  <c r="I438" i="1"/>
  <c r="I162" i="1"/>
  <c r="I259" i="1"/>
  <c r="I427" i="1"/>
  <c r="I132" i="1"/>
  <c r="I501" i="1"/>
  <c r="I380" i="1"/>
  <c r="I379" i="1"/>
  <c r="I109" i="1"/>
  <c r="I38" i="1"/>
  <c r="I440" i="1"/>
  <c r="I175" i="1"/>
  <c r="I318" i="1"/>
  <c r="I50" i="1"/>
  <c r="I44" i="1"/>
  <c r="I19" i="1"/>
  <c r="I22" i="1"/>
  <c r="I29" i="1"/>
  <c r="I75" i="1"/>
  <c r="I237" i="1"/>
  <c r="I253" i="1"/>
  <c r="I53" i="1"/>
  <c r="I153" i="1"/>
  <c r="I466" i="1"/>
  <c r="I224" i="1"/>
  <c r="I474" i="1"/>
  <c r="I373" i="1"/>
  <c r="I72" i="1"/>
  <c r="I140" i="1"/>
  <c r="I73" i="1"/>
  <c r="I266" i="1"/>
  <c r="I352" i="1"/>
  <c r="I49" i="1"/>
  <c r="I235" i="1"/>
  <c r="I355" i="1"/>
  <c r="I343" i="1"/>
  <c r="I486" i="1"/>
  <c r="I195" i="1"/>
  <c r="I329" i="1"/>
  <c r="I257" i="1"/>
  <c r="I339" i="1"/>
  <c r="I473" i="1"/>
  <c r="I131" i="1"/>
  <c r="I192" i="1"/>
  <c r="I15" i="1"/>
  <c r="I482" i="1"/>
  <c r="I65" i="1"/>
  <c r="I154" i="1"/>
  <c r="I8" i="1"/>
  <c r="I66" i="1"/>
  <c r="I256" i="1"/>
  <c r="I416" i="1"/>
  <c r="I106" i="1"/>
  <c r="I10" i="1"/>
  <c r="I289" i="1"/>
  <c r="I102" i="1"/>
  <c r="I398" i="1"/>
  <c r="I197" i="1"/>
  <c r="I334" i="1"/>
  <c r="I158" i="1"/>
  <c r="I463" i="1"/>
  <c r="I423" i="1"/>
  <c r="I208" i="1"/>
  <c r="I459" i="1"/>
  <c r="I190" i="1"/>
  <c r="I432" i="1"/>
  <c r="I214" i="1"/>
  <c r="I495" i="1"/>
  <c r="I288" i="1"/>
  <c r="I36" i="1"/>
  <c r="I4" i="1"/>
  <c r="I340" i="1"/>
  <c r="I353" i="1"/>
  <c r="I262" i="1"/>
  <c r="I156" i="1"/>
  <c r="I453" i="1"/>
  <c r="I48" i="1"/>
  <c r="I307" i="1"/>
  <c r="I325" i="1"/>
  <c r="I230" i="1"/>
  <c r="I462" i="1"/>
  <c r="I412" i="1"/>
  <c r="I202" i="1"/>
  <c r="I309" i="1"/>
  <c r="I456" i="1"/>
  <c r="I2" i="1"/>
  <c r="I90" i="1"/>
  <c r="I85" i="1"/>
  <c r="I228" i="1"/>
  <c r="I265" i="1"/>
  <c r="I150" i="1"/>
  <c r="I284" i="1"/>
  <c r="I171" i="1"/>
  <c r="I159" i="1"/>
  <c r="I227" i="1"/>
  <c r="I491" i="1"/>
  <c r="I165" i="1"/>
  <c r="I387" i="1"/>
  <c r="I383" i="1"/>
  <c r="I394" i="1"/>
  <c r="I25" i="1"/>
  <c r="I300" i="1"/>
  <c r="I16" i="1"/>
  <c r="I178" i="1"/>
  <c r="I43" i="1"/>
  <c r="I464" i="1"/>
  <c r="I478" i="1"/>
  <c r="I164" i="1"/>
  <c r="I103" i="1"/>
  <c r="I116" i="1"/>
  <c r="I245" i="1"/>
  <c r="I421" i="1"/>
  <c r="I338" i="1"/>
  <c r="I431" i="1"/>
  <c r="I476" i="1"/>
  <c r="I163" i="1"/>
  <c r="I414" i="1"/>
  <c r="I98" i="1"/>
  <c r="I279" i="1"/>
  <c r="I241" i="1"/>
  <c r="I295" i="1"/>
  <c r="I211" i="1"/>
  <c r="I3" i="1"/>
  <c r="I437" i="1"/>
  <c r="I11" i="1"/>
  <c r="I321" i="1"/>
  <c r="I371" i="1"/>
  <c r="I296" i="1"/>
  <c r="I457" i="1"/>
  <c r="I135" i="1"/>
  <c r="I213" i="1"/>
  <c r="I183" i="1"/>
  <c r="I180" i="1"/>
  <c r="I411" i="1"/>
  <c r="I243" i="1"/>
  <c r="I497" i="1"/>
  <c r="I375" i="1"/>
  <c r="I479" i="1"/>
  <c r="I95" i="1"/>
  <c r="I71" i="1"/>
  <c r="I348" i="1"/>
  <c r="I198" i="1"/>
  <c r="I494" i="1"/>
  <c r="I89" i="1"/>
  <c r="I384" i="1"/>
  <c r="I139" i="1"/>
  <c r="I47" i="1"/>
  <c r="I359" i="1"/>
  <c r="I332" i="1"/>
  <c r="I7" i="1"/>
  <c r="I370" i="1"/>
  <c r="I461" i="1"/>
  <c r="I97" i="1"/>
  <c r="I78" i="1"/>
  <c r="I196" i="1"/>
  <c r="I301" i="1"/>
  <c r="I79" i="1"/>
  <c r="I285" i="1"/>
  <c r="I218" i="1"/>
  <c r="I221" i="1"/>
  <c r="I418" i="1"/>
  <c r="I189" i="1"/>
  <c r="I125" i="1"/>
  <c r="I239" i="1"/>
  <c r="I204" i="1"/>
  <c r="I151" i="1"/>
  <c r="I271" i="1"/>
  <c r="I34" i="1"/>
  <c r="I18" i="1"/>
  <c r="I33" i="1"/>
  <c r="I395" i="1"/>
  <c r="I310" i="1"/>
  <c r="I193" i="1"/>
  <c r="I161" i="1"/>
  <c r="I333" i="1"/>
  <c r="I449" i="1"/>
  <c r="I155" i="1"/>
  <c r="I92" i="1"/>
  <c r="I263" i="1"/>
  <c r="I299" i="1"/>
  <c r="I249" i="1"/>
  <c r="I194" i="1"/>
  <c r="I446" i="1"/>
  <c r="I346" i="1"/>
  <c r="I468" i="1"/>
  <c r="I326" i="1"/>
  <c r="I415" i="1"/>
  <c r="I87" i="1"/>
  <c r="I320" i="1"/>
  <c r="I465" i="1"/>
  <c r="I500" i="1"/>
  <c r="I268" i="1"/>
  <c r="I264" i="1"/>
  <c r="I460" i="1"/>
  <c r="I419" i="1"/>
  <c r="I51" i="1"/>
  <c r="I485" i="1"/>
  <c r="I410" i="1"/>
  <c r="I420" i="1"/>
  <c r="I101" i="1"/>
  <c r="I94" i="1"/>
  <c r="I168" i="1"/>
  <c r="I108" i="1"/>
  <c r="I242" i="1"/>
  <c r="I472" i="1"/>
  <c r="I126" i="1"/>
  <c r="I145" i="1"/>
  <c r="I391" i="1"/>
  <c r="I413" i="1"/>
  <c r="I402" i="1"/>
  <c r="I290" i="1"/>
  <c r="J504" i="1"/>
  <c r="M501" i="1" l="1"/>
  <c r="I503" i="1"/>
  <c r="M451" i="1"/>
  <c r="M351" i="1"/>
  <c r="M401" i="1"/>
  <c r="M51" i="1"/>
  <c r="M301" i="1"/>
  <c r="M101" i="1"/>
  <c r="M15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  <c r="G504" i="1" s="1"/>
</calcChain>
</file>

<file path=xl/sharedStrings.xml><?xml version="1.0" encoding="utf-8"?>
<sst xmlns="http://schemas.openxmlformats.org/spreadsheetml/2006/main" count="1045" uniqueCount="897">
  <si>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</si>
  <si>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</si>
  <si>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</si>
  <si>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</si>
  <si>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</si>
  <si>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</si>
  <si>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</si>
  <si>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</si>
  <si>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</si>
  <si>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</si>
  <si>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</si>
  <si>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</si>
  <si>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</si>
  <si>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</si>
  <si>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</si>
  <si>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</si>
  <si>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</si>
  <si>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</si>
  <si>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</si>
  <si>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</si>
  <si>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</si>
  <si>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</si>
  <si>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</si>
  <si>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</si>
  <si>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</si>
  <si>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</si>
  <si>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</si>
  <si>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</si>
  <si>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</si>
  <si>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</si>
  <si>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</si>
  <si>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</si>
  <si>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</si>
  <si>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</si>
  <si>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</si>
  <si>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</si>
  <si>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</si>
  <si>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</si>
  <si>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</si>
  <si>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</si>
  <si>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</si>
  <si>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</si>
  <si>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</si>
  <si>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</si>
  <si>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</si>
  <si>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</si>
  <si>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</si>
  <si>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</si>
  <si>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</si>
  <si>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</si>
  <si>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</si>
  <si>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</si>
  <si>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</si>
  <si>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</si>
  <si>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</si>
  <si>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</si>
  <si>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</si>
  <si>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</si>
  <si>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</si>
  <si>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</si>
  <si>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</si>
  <si>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</si>
  <si>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</si>
  <si>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</si>
  <si>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</si>
  <si>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</si>
  <si>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</si>
  <si>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</si>
  <si>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</si>
  <si>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</si>
  <si>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</si>
  <si>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</si>
  <si>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</si>
  <si>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</si>
  <si>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</si>
  <si>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</si>
  <si>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</si>
  <si>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</si>
  <si>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</si>
  <si>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</si>
  <si>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</si>
  <si>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</si>
  <si>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</si>
  <si>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</si>
  <si>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</si>
  <si>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</si>
  <si>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</si>
  <si>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</si>
  <si>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</si>
  <si>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</si>
  <si>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</si>
  <si>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</si>
  <si>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</si>
  <si>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</si>
  <si>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</si>
  <si>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</si>
  <si>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</si>
  <si>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</si>
  <si>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</si>
  <si>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</si>
  <si>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</si>
  <si>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</si>
  <si>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</si>
  <si>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</si>
  <si>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</si>
  <si>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</si>
  <si>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</si>
  <si>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</si>
  <si>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</si>
  <si>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</si>
  <si>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</si>
  <si>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</si>
  <si>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</si>
  <si>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</si>
  <si>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</si>
  <si>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</si>
  <si>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</si>
  <si>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</si>
  <si>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</si>
  <si>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</si>
  <si>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</si>
  <si>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</si>
  <si>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</si>
  <si>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</si>
  <si>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</si>
  <si>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</si>
  <si>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</si>
  <si>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</si>
  <si>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</si>
  <si>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</si>
  <si>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</si>
  <si>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</si>
  <si>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</si>
  <si>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</si>
  <si>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</si>
  <si>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</si>
  <si>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</si>
  <si>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</si>
  <si>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</si>
  <si>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</si>
  <si>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</si>
  <si>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</si>
  <si>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</si>
  <si>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</si>
  <si>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</si>
  <si>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</si>
  <si>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</si>
  <si>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</si>
  <si>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</si>
  <si>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</si>
  <si>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</si>
  <si>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</si>
  <si>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</si>
  <si>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</si>
  <si>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</si>
  <si>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</si>
  <si>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</si>
  <si>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</si>
  <si>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</si>
  <si>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</si>
  <si>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</si>
  <si>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</si>
  <si>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</si>
  <si>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</si>
  <si>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</si>
  <si>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</si>
  <si>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</si>
  <si>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</si>
  <si>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</si>
  <si>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</si>
  <si>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</si>
  <si>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</si>
  <si>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</si>
  <si>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</si>
  <si>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</si>
  <si>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</si>
  <si>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</si>
  <si>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</si>
  <si>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</si>
  <si>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</si>
  <si>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</si>
  <si>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</si>
  <si>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</si>
  <si>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</si>
  <si>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</si>
  <si>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</si>
  <si>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</si>
  <si>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</si>
  <si>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</si>
  <si>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</si>
  <si>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</si>
  <si>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</si>
  <si>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</si>
  <si>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</si>
  <si>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</si>
  <si>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</si>
  <si>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</si>
  <si>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</si>
  <si>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</si>
  <si>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</si>
  <si>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</si>
  <si>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</si>
  <si>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</si>
  <si>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</si>
  <si>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</si>
  <si>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</si>
  <si>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</si>
  <si>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</si>
  <si>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</si>
  <si>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</si>
  <si>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</si>
  <si>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</si>
  <si>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</si>
  <si>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</si>
  <si>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</si>
  <si>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</si>
  <si>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</si>
  <si>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</si>
  <si>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</si>
  <si>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</si>
  <si>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</si>
  <si>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</si>
  <si>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</si>
  <si>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</si>
  <si>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</si>
  <si>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</si>
  <si>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</si>
  <si>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</si>
  <si>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</si>
  <si>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</si>
  <si>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</si>
  <si>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</si>
  <si>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</si>
  <si>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</si>
  <si>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</si>
  <si>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</si>
  <si>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</si>
  <si>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</si>
  <si>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</si>
  <si>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</si>
  <si>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</si>
  <si>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</si>
  <si>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</si>
  <si>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</si>
  <si>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</si>
  <si>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</si>
  <si>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</si>
  <si>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</si>
  <si>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</si>
  <si>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</si>
  <si>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</si>
  <si>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</si>
  <si>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</si>
  <si>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</si>
  <si>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</si>
  <si>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</si>
  <si>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</si>
  <si>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</si>
  <si>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</si>
  <si>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</si>
  <si>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</si>
  <si>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</si>
  <si>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</si>
  <si>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</si>
  <si>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</si>
  <si>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</si>
  <si>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</si>
  <si>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</si>
  <si>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</si>
  <si>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</si>
  <si>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</si>
  <si>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</si>
  <si>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</si>
  <si>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</si>
  <si>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</si>
  <si>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</si>
  <si>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</si>
  <si>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</si>
  <si>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</si>
  <si>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</si>
  <si>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</si>
  <si>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</si>
  <si>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</si>
  <si>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</si>
  <si>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</si>
  <si>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</si>
  <si>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</si>
  <si>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</si>
  <si>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</si>
  <si>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</si>
  <si>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</si>
  <si>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</si>
  <si>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</si>
  <si>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</si>
  <si>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</si>
  <si>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</si>
  <si>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</si>
  <si>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</si>
  <si>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</si>
  <si>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</si>
  <si>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</si>
  <si>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</si>
  <si>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</si>
  <si>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</si>
  <si>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</si>
  <si>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</si>
  <si>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</si>
  <si>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</si>
  <si>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</si>
  <si>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</si>
  <si>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</si>
  <si>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</si>
  <si>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</si>
  <si>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</si>
  <si>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</si>
  <si>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</si>
  <si>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</si>
  <si>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</si>
  <si>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</si>
  <si>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</si>
  <si>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</si>
  <si>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</si>
  <si>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</si>
  <si>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</si>
  <si>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</si>
  <si>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</si>
  <si>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</si>
  <si>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</si>
  <si>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</si>
  <si>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</si>
  <si>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</si>
  <si>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</si>
  <si>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</si>
  <si>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</si>
  <si>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</si>
  <si>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</si>
  <si>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</si>
  <si>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</si>
  <si>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</si>
  <si>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</si>
  <si>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</si>
  <si>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</si>
  <si>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</si>
  <si>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</si>
  <si>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</si>
  <si>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</si>
  <si>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</si>
  <si>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</si>
  <si>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</si>
  <si>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</si>
  <si>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</si>
  <si>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</si>
  <si>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</si>
  <si>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</si>
  <si>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</si>
  <si>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</si>
  <si>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</si>
  <si>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</si>
  <si>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</si>
  <si>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</si>
  <si>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</si>
  <si>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</si>
  <si>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</si>
  <si>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</si>
  <si>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</si>
  <si>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</si>
  <si>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</si>
  <si>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</si>
  <si>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</si>
  <si>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</si>
  <si>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</si>
  <si>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</si>
  <si>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</si>
  <si>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</si>
  <si>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</si>
  <si>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</si>
  <si>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</si>
  <si>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</si>
  <si>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</si>
  <si>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</si>
  <si>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</si>
  <si>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</si>
  <si>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</si>
  <si>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</si>
  <si>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</si>
  <si>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</si>
  <si>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</si>
  <si>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</si>
  <si>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</si>
  <si>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</si>
  <si>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</si>
  <si>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</si>
  <si>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</si>
  <si>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</si>
  <si>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</si>
  <si>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</si>
  <si>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</si>
  <si>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</si>
  <si>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</si>
  <si>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</si>
  <si>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</si>
  <si>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</si>
  <si>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</si>
  <si>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</si>
  <si>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</si>
  <si>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</si>
  <si>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</si>
  <si>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</si>
  <si>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</si>
  <si>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</si>
  <si>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</si>
  <si>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</si>
  <si>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</si>
  <si>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</si>
  <si>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</si>
  <si>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</si>
  <si>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</si>
  <si>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</si>
  <si>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</si>
  <si>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</si>
  <si>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</si>
  <si>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</si>
  <si>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</si>
  <si>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</si>
  <si>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</si>
  <si>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</si>
  <si>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</si>
  <si>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</si>
  <si>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</si>
  <si>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</si>
  <si>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</si>
  <si>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</si>
  <si>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</si>
  <si>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</si>
  <si>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</si>
  <si>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</si>
  <si>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</si>
  <si>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</si>
  <si>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</si>
  <si>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</si>
  <si>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</si>
  <si>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</si>
  <si>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</si>
  <si>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</si>
  <si>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</si>
  <si>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</si>
  <si>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</si>
  <si>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</si>
  <si>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</si>
  <si>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</si>
  <si>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</si>
  <si>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</si>
  <si>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</si>
  <si>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</si>
  <si>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</si>
  <si>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</si>
  <si>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</si>
  <si>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</si>
  <si>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</si>
  <si>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</si>
  <si>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</si>
  <si>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</si>
  <si>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</si>
  <si>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</si>
  <si>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제6조(사업)</t>
  </si>
  <si>
    <t xml:space="preserve"> </t>
    <phoneticPr fontId="2" type="noConversion"/>
  </si>
  <si>
    <t>수입식품안전관리 특별법(법률) 제7조(우수수입업소 등록 등)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</si>
  <si>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</si>
  <si>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</si>
  <si>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</si>
  <si>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</si>
  <si>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</si>
  <si>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</si>
  <si>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</si>
  <si>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</si>
  <si>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</si>
  <si>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</si>
  <si>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</si>
  <si>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</si>
  <si>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</si>
  <si>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</si>
  <si>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</si>
  <si>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</si>
  <si>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</si>
  <si>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</si>
  <si>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</si>
  <si>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</si>
  <si>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</si>
  <si>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</si>
  <si>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</si>
  <si>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</si>
  <si>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축산물 위생관리법(법률) 제4조(축산물의 기준 및 규격)</t>
  </si>
  <si>
    <t>축산물 위생관리법 시행령(대통령령) 제26조의5(위해 축산물을 회수한 영업자에 대한 행정처분의 감면)</t>
  </si>
  <si>
    <t>축산물 위생관리법(법률) 제20조의2(축산물위생감시원)</t>
  </si>
  <si>
    <t>축산물 위생관리법 시행규칙(총리령) 제5조(도축장 외의 장소에서 도살처리한 가축의 신고 등)</t>
  </si>
  <si>
    <t>축산물 위생관리법 시행령(대통령령) 제2조(가축의 범위 등)</t>
  </si>
  <si>
    <t>수입식품안전관리 특별법(법률) 제5조(해외제조업소 등록)</t>
  </si>
  <si>
    <t>수입식품안전관리 특별법 시행령(대통령령) 제10조(과징금의 부과 및 납부 절차)</t>
  </si>
  <si>
    <t>수입식품안전관리 특별법 시행령(대통령령) 제9조(영업정지 처분을 갈음하여 부과하는 과징금의 산정기준)</t>
  </si>
  <si>
    <t>수입식품안전관리 특별법 시행령(대통령령) 제11조(과징금 부과처분 취소 대상자 등)</t>
  </si>
  <si>
    <t>식품위생법 시행령(대통령령) 제29조(준수사항 적용 대상 영업자의 범위)</t>
  </si>
  <si>
    <t>가축전염병 예방법 시행령(대통령령) 제2조의5(가축전염병발생국가에서입국시제출할서류)</t>
  </si>
  <si>
    <t>가축전염병 예방법(법률) 제5조(가축의소유자등의방역및검역의무)</t>
  </si>
  <si>
    <t>가축전염병 예방법 시행규칙(농림축산식품부령) 제3조의5(중점방역관리지구 지정등)</t>
  </si>
  <si>
    <t>가축전염병 예방법(법률) 제5조의2(방역관리책임자)</t>
  </si>
  <si>
    <t>가축전염병 예방법(법률) 제17조(소독설비 방역시설구비및소독실시등)</t>
  </si>
  <si>
    <t>농약관리법(법률) 제17조(수입농약등의등록등)</t>
  </si>
  <si>
    <t>먹는물관리법(법률) 제58조(벌칙)</t>
  </si>
  <si>
    <t>먹는물관리법 시행령(대통령령) 제2조(먹는물수질감시원)</t>
  </si>
  <si>
    <t>먹는물관리법(법률) 제48조(허가의취소등)</t>
  </si>
  <si>
    <t>먹는물관리법(법률) 제23조(조건부영업허가)</t>
  </si>
  <si>
    <t>먹는물관리법 시행규칙(환경부령) 제40조(사업장의영업정지처분의게시)</t>
  </si>
  <si>
    <t>사료관리법(법률) 제8조(제조업의등록등)</t>
  </si>
  <si>
    <t>사료관리법(법률) 제25조(제조업의등록취소등)</t>
  </si>
  <si>
    <t>사료관리법 시행규칙(농림축산식품부령) 제10조(사료안전관리인의 직무)</t>
  </si>
  <si>
    <t>사료관리법(법률) 제17조(사료공장의위해요소중점관리 담당기관지원등)</t>
  </si>
  <si>
    <t>사료관리법(법률) 제14조(제조수입판매또는사용등의금지)</t>
  </si>
  <si>
    <t>사료관리법(법률) 제19조(사료의수입신고등)</t>
  </si>
  <si>
    <t>사료관리법 시행규칙(농림축산식품부령) 제28조(사료검사원의직무등)</t>
  </si>
  <si>
    <t>식품ㆍ의약품분야 시험ㆍ검사 등에 관한 법률 시행규칙(총리령) 제8조(국외시험 검사기관의지정사항변경)</t>
  </si>
  <si>
    <t>식품ㆍ의약품분야 시험ㆍ검사 등에 관한 법률(법률) 제6조(시험검사기관의지정등)</t>
  </si>
  <si>
    <t>식품ㆍ의약품분야 시험ㆍ검사 등에 관한 법률 시행령(대통령령) 제9조(시험검사의운영체계확립사업)</t>
  </si>
  <si>
    <t>식품ㆍ의약품분야 시험ㆍ검사 등에 관한 법률 시행규칙(총리령) 제17조(우수시험 검사기관의변경지정)</t>
  </si>
  <si>
    <t>식품ㆍ의약품분야 시험ㆍ검사 등에 관한 법률 시행규칙(총리령) 제23조(교육기관의변경지정등)</t>
  </si>
  <si>
    <t>건강기능식품에 관한 법률(법률) 제4조(영업의종류및시설기준)</t>
  </si>
  <si>
    <t>건강기능식품에 관한 법률 시행규칙(총리령) 제6조(신고사항의변경)</t>
  </si>
  <si>
    <t>건강기능식품에 관한 법률(법률) 제6조(영업의신고등)</t>
  </si>
  <si>
    <t>건강기능식품에 관한 법률(법률) 제23조(위해건강기능식품등의판매등의금지)</t>
  </si>
  <si>
    <t>수입식품안전관리 특별법(법률) 제20조(수입신고 등)</t>
  </si>
  <si>
    <t>수입식품안전관리 특별법 시행규칙(총리령) 제10조의2(특별위생관리식품의 수입위생평가 등)</t>
  </si>
  <si>
    <t>수입식품안전관리 특별법 시행규칙(총리령) 제35조(유통이력추적관리 대상 수입식품등)</t>
  </si>
  <si>
    <t>식품위생법(법률) 제47조의2(식품접객업소등의 위생등급 지정 등)</t>
  </si>
  <si>
    <t>한국식품안전관리인증원의 설립 및 운영에 관한 법률 시행령(대통령령) 제3조(사업계획서등의제출)</t>
  </si>
  <si>
    <t>한국식품안전관리인증원의 설립 및 운영에 관한 법률 시행령(대통령령) 제2조(사업계획서및예산서의제출에관한특례)</t>
  </si>
  <si>
    <t>한국식품안전관리인증원의 설립 및 운영에 관한 법률(법률) 제14조(지도감독등)</t>
  </si>
  <si>
    <t>한국식품안전관리인증원의 설립 및 운영에 관한 법률 시행령(대통령령) 제3조(다른법령의개정)</t>
  </si>
  <si>
    <t>한국식품안전관리인증원의 설립 및 운영에 관한 법률(법률) 제10조(운영재원)</t>
  </si>
  <si>
    <t>한국식품안전관리인증원의 설립 및 운영에 관한 법률(법률) 제18조(벌칙적용에서공무원의제)</t>
  </si>
  <si>
    <t>가축전염병 예방법 시행규칙(농림축산식품부령) 제2조(제2종및제3종가축전염병등)</t>
  </si>
  <si>
    <t>가축전염병 예방법(법률) 제25조(축사등의소독)</t>
  </si>
  <si>
    <t>가축전염병 예방법(법률) 제27조(가축집합시설의사용정지등)</t>
  </si>
  <si>
    <t>가축전염병 예방법 시행령(대통령령) 제2조의4(가축방역 검역수행기관)</t>
  </si>
  <si>
    <t>가축전염병 예방법(법률) 제33조(수입금지물건등에대한조치)</t>
  </si>
  <si>
    <t>농약관리법(법률) 제34조(벌칙)</t>
  </si>
  <si>
    <t>농약관리법(법률) 제23조의8(조정의거부중지및종결)</t>
  </si>
  <si>
    <t>농약관리법(법률) 제31조의3(벌칙)</t>
  </si>
  <si>
    <t>농약관리법(법률) 제30조(적용배제)</t>
  </si>
  <si>
    <t>농약관리법 시행규칙(농림축산식품부령) 제10조(등록증의재발급)</t>
  </si>
  <si>
    <t>농약관리법 시행규칙(농림축산식품부령) 제1조(목적)</t>
  </si>
  <si>
    <t>농약관리법 시행규칙(농림축산식품부령) 제20조의2(원제등록자의지위승계신고)</t>
  </si>
  <si>
    <t>먹는물관리법 시행규칙(환경부령) 제23조(샘물등의취수량등의조사)</t>
  </si>
  <si>
    <t>먹는물관리법(법률) 제9조(샘물또는염지하수의개발허가등)</t>
  </si>
  <si>
    <t>먹는물관리법(법률) 제5조(먹는물등의수질관리)</t>
  </si>
  <si>
    <t>먹는물관리법(법률) 제30조(준수사항)</t>
  </si>
  <si>
    <t>먹는물관리법(법률) 제49조(행정처분효과의승계)</t>
  </si>
  <si>
    <t>사료관리법 시행령(대통령령) 제1조(목적)</t>
  </si>
  <si>
    <t>사료관리법(법률) 제5조(사료의수급안정을위한지원)</t>
  </si>
  <si>
    <t>사료관리법 시행규칙(농림축산식품부령) 제40조(규제의재검토)</t>
  </si>
  <si>
    <t>축산물 위생관리법 시행규칙(총리령) 제7조(안전관리인증기준의 작성운용 등)</t>
  </si>
  <si>
    <t>축산물 위생관리법 시행령(대통령령) 제18조의2(검사원의 교육)</t>
  </si>
  <si>
    <t>축산물 위생관리법 시행규칙(총리령) 제3조(축산물의 한시적 기준 및 규격의 인정 등)</t>
  </si>
  <si>
    <t>축산물 위생관리법 시행령(대통령령) 제9조(분과위원회)</t>
  </si>
  <si>
    <t>축산물 위생관리법 시행령(대통령령) 제11조(수당과 여비)</t>
  </si>
  <si>
    <t>식품ㆍ의약품분야 시험ㆍ검사 등에 관한 법률(법률) 제18조(교육기관)</t>
  </si>
  <si>
    <t>식품ㆍ의약품분야 시험ㆍ검사 등에 관한 법률(법률) 제29조(양벌규정)</t>
  </si>
  <si>
    <t>식품ㆍ의약품분야 시험ㆍ검사 등에 관한 법률(법률) 제28조(벌칙)</t>
  </si>
  <si>
    <t>식품ㆍ의약품분야 시험ㆍ검사 등에 관한 법률 시행규칙(총리령) 제26조의2(시험검사능력평가및관리)</t>
  </si>
  <si>
    <t>식품ㆍ의약품분야 시험ㆍ검사 등에 관한 법률(법률) 제15조(시험검사의운영체계확립)</t>
  </si>
  <si>
    <t>건강기능식품에 관한 법률 시행규칙(총리령) 제16조의4(맞춤형건강기능식품관리사의 선임해임신고)</t>
  </si>
  <si>
    <t>건강기능식품에 관한 법률 시행규칙(총리령) 제16조의5(맞춤형건강기능식품관리사의 준수사항)</t>
  </si>
  <si>
    <t>건강기능식품에 관한 법률 시행규칙(총리령) 제12조(영업자의준수사항)</t>
  </si>
  <si>
    <t>건강기능식품에 관한 법률 시행령(대통령령) 제13조(보고)</t>
  </si>
  <si>
    <t>수입식품안전관리 특별법(법률) 제10조의2(특별위생관리식품의 수입위생평가 등)</t>
  </si>
  <si>
    <t>수입식품안전관리 특별법 시행령(대통령령) 제6조의2(직접구매 해외식품등에 대한 실태조사를 위한 자료 제공 요청)</t>
  </si>
  <si>
    <t>식품위생법 시행규칙(총리령) 제2조(식품등의 위생적인 취급에 관한 기준)</t>
  </si>
  <si>
    <t>식품위생법(법률) 제8조(유독기구 등의 판매사용 금지)</t>
  </si>
  <si>
    <t>식품위생법 시행규칙(총리령) 제68조(식품안전관리인증기준적용업소에 대한 출입검사 면제)</t>
  </si>
  <si>
    <t>식품위생법(법률) 제49조</t>
  </si>
  <si>
    <t>식품위생법(법률) 제70조의7(건강 위해가능 영양성분 관리)</t>
  </si>
  <si>
    <t>식품위생법(법률) 제73조(위해식품등의 공표)</t>
  </si>
  <si>
    <t>식품위생법(법률) 제7조의5(식품등의 기준 및 규격의 재평가 등)</t>
  </si>
  <si>
    <t>식품위생법 시행령(대통령령) 제40조(위원의 직무)</t>
  </si>
  <si>
    <t>가축전염병 예방법(법률) 제52조(농림축산식품부장관 등의지시)</t>
    <phoneticPr fontId="2" type="noConversion"/>
  </si>
  <si>
    <t>가축전염병 예방법 시행규칙(농림축산식품부령) 제3조(가축전염병예찰)</t>
    <phoneticPr fontId="2" type="noConversion"/>
  </si>
  <si>
    <t>가축전염병 예방법(법률) 제3조(국가와지방자치단체의 책무)</t>
    <phoneticPr fontId="2" type="noConversion"/>
  </si>
  <si>
    <t>가축전염병 예방법(법률) 제51조(보고)</t>
    <phoneticPr fontId="2" type="noConversion"/>
  </si>
  <si>
    <t>가축전염병 예방법(법률) 제5조(가축의소유자등의방역및검역의무)</t>
    <phoneticPr fontId="2" type="noConversion"/>
  </si>
  <si>
    <t>가축전염병 예방법(법률) 제45조(선박항공기안의음식물확인등)</t>
    <phoneticPr fontId="2" type="noConversion"/>
  </si>
  <si>
    <t>가축전염병 예방법 시행규칙(농림축산식품부령) 제7조의3(질문검사소독고지및소독등실시)</t>
    <phoneticPr fontId="2" type="noConversion"/>
  </si>
  <si>
    <t>가축전염병 예방법(법률) 제3조의2(가축전염병발생현황에대한정보공개)</t>
    <phoneticPr fontId="2" type="noConversion"/>
  </si>
  <si>
    <t>가축전염병 예방법 시행규칙(농림축산식품부령) 제3조의3(가축전염병발생현황에대한정보공개)</t>
    <phoneticPr fontId="2" type="noConversion"/>
  </si>
  <si>
    <t>가축전염병 예방법 시행령(대통령령) 제2조의2(가축전염병발생현황에대한정보공개)</t>
    <phoneticPr fontId="2" type="noConversion"/>
  </si>
  <si>
    <t>가축전염병 예방법 시행령(대통령령) 제6조(가축사육시설의폐쇄명령등)</t>
    <phoneticPr fontId="2" type="noConversion"/>
  </si>
  <si>
    <t>가축전염병 예방법 시행규칙(농림축산식품부령) 제4조(사육제한명령등)</t>
    <phoneticPr fontId="2" type="noConversion"/>
  </si>
  <si>
    <t>가축전염병 예방법(법률) 제19조(격리와가축사육시설의폐쇄명령등)</t>
    <phoneticPr fontId="2" type="noConversion"/>
  </si>
  <si>
    <t>가축전염병 예방법 시행령(대통령령) 제7조(가축사육시설의폐쇄조치등)</t>
    <phoneticPr fontId="2" type="noConversion"/>
  </si>
  <si>
    <t>가축전염병 예방법(법률) 제3조의3(국가가축방역통합정보시스템의 구축운영)</t>
    <phoneticPr fontId="2" type="noConversion"/>
  </si>
  <si>
    <t>가축전염병 예방법 시행규칙(농림축산식품부령) 제3조의4(국가가축방역통합정보시스템의 구축운영)</t>
    <phoneticPr fontId="2" type="noConversion"/>
  </si>
  <si>
    <t>가축전염병 예방법 시행규칙(농림축산식품부령) 제47조의2(정보제공대상등)</t>
    <phoneticPr fontId="2" type="noConversion"/>
  </si>
  <si>
    <t>가축전염병 예방법(법률) 제3조의4(중점방역관리지구 )</t>
    <phoneticPr fontId="2" type="noConversion"/>
  </si>
  <si>
    <t>가축전염병 예방법 시행규칙(농림축산식품부령) 제3조의5(중점방역관리지구 지정등)</t>
    <phoneticPr fontId="2" type="noConversion"/>
  </si>
  <si>
    <t>가축전염병 예방법 시행규칙(농림축산식품부령) 제22조(격리등의명령)</t>
    <phoneticPr fontId="2" type="noConversion"/>
  </si>
  <si>
    <t>가축전염병 예방법(법률) 제21조(도태의권고및명령)</t>
    <phoneticPr fontId="2" type="noConversion"/>
  </si>
  <si>
    <t>가축전염병 예방법(법률) 제4조(가축방역심의회)</t>
    <phoneticPr fontId="2" type="noConversion"/>
  </si>
  <si>
    <t>가축전염병 예방법 시행규칙(농림축산식품부령) 제5조(심의회의구성및운영)</t>
    <phoneticPr fontId="2" type="noConversion"/>
  </si>
  <si>
    <t>가축전염병 예방법 시행규칙(농림축산식품부령) 제6조(심의회의회의)</t>
    <phoneticPr fontId="2" type="noConversion"/>
  </si>
  <si>
    <t>가축전염병 예방법 시행규칙(농림축산식품부령) 제7조(심의회의간사등)</t>
    <phoneticPr fontId="2" type="noConversion"/>
  </si>
  <si>
    <t>가축전염병 예방법 시행령(대통령령) 제3조의2(가축전염병기동방역기구의 설치등)</t>
    <phoneticPr fontId="2" type="noConversion"/>
  </si>
  <si>
    <t>가축전염병 예방법 시행령(대통령령) 제3조(가축방역관을두는기관등)</t>
    <phoneticPr fontId="2" type="noConversion"/>
  </si>
  <si>
    <t>가축전염병 예방법(법률) 제9조의2(가축전염병기동방역기구의 설치등)</t>
    <phoneticPr fontId="2" type="noConversion"/>
  </si>
  <si>
    <t>가축전염병 예방법 시행령(대통령령) 제2조의5(가축전염병발생국가에서입국시제출할서류)</t>
    <phoneticPr fontId="2" type="noConversion"/>
  </si>
  <si>
    <t>가축전염병 예방법 시행규칙(농림축산식품부령) 제7조의4(가축의소유자등의범위및입국출국신고등)</t>
    <phoneticPr fontId="2" type="noConversion"/>
  </si>
  <si>
    <t>가축전염병 예방법 시행령(대통령령) 제2조의3(검역및방역시설설치운영)</t>
    <phoneticPr fontId="2" type="noConversion"/>
  </si>
  <si>
    <t>가축전염병 예방법 시행규칙(농림축산식품부령) 제22조의4(방목가능시설또는장비등)</t>
    <phoneticPr fontId="2" type="noConversion"/>
  </si>
  <si>
    <t>농약관리법(법률) 제20조(농약등및원제의표시)</t>
    <phoneticPr fontId="2" type="noConversion"/>
  </si>
  <si>
    <t>농약관리법 시행규칙(농림축산식품부령) 제23조(농약등원제의표시사항및가격표시방법)</t>
    <phoneticPr fontId="2" type="noConversion"/>
  </si>
  <si>
    <t>농약관리법(법률) 제25조(농약등또는원제의관리에관한보고등)</t>
    <phoneticPr fontId="2" type="noConversion"/>
  </si>
  <si>
    <t>농약관리법(법률) 제22조(허위광고등의금지)</t>
    <phoneticPr fontId="2" type="noConversion"/>
  </si>
  <si>
    <t>농약관리법(법률) 제29조(청문)</t>
    <phoneticPr fontId="2" type="noConversion"/>
  </si>
  <si>
    <t>농약관리법(법률) 제7조(등록의취소등)</t>
    <phoneticPr fontId="2" type="noConversion"/>
  </si>
  <si>
    <t>농약관리법(법률) 제17조의5(시험연구기관의지정취소등)</t>
    <phoneticPr fontId="2" type="noConversion"/>
  </si>
  <si>
    <t>농약관리법(법률) 제6조(폐업의신고)</t>
    <phoneticPr fontId="2" type="noConversion"/>
  </si>
  <si>
    <t>농약관리법(법률) 제40조(과태료)</t>
    <phoneticPr fontId="2" type="noConversion"/>
  </si>
  <si>
    <t>농약관리법 시행령(대통령령) 제23조(과태료의부과기준)</t>
    <phoneticPr fontId="2" type="noConversion"/>
  </si>
  <si>
    <t>농약관리법(법률) 제35조(벌칙)</t>
    <phoneticPr fontId="2" type="noConversion"/>
  </si>
  <si>
    <t>농약관리법(법률) 제33조(벌칙)</t>
    <phoneticPr fontId="2" type="noConversion"/>
  </si>
  <si>
    <t>농약관리법 시행규칙(농림축산식품부령) 제5조의3(행정정보의공동이용)</t>
    <phoneticPr fontId="2" type="noConversion"/>
  </si>
  <si>
    <t>농약관리법(법률) 제9조(품목등록신청서류등의검토등)</t>
    <phoneticPr fontId="2" type="noConversion"/>
  </si>
  <si>
    <t>농약관리법(법률) 제23조의3(농약안전정보시스템의 구축운영등)</t>
    <phoneticPr fontId="2" type="noConversion"/>
  </si>
  <si>
    <t>농약관리법 시행령(대통령령) 제22조의2(민감정보및고유식별정보의처리)</t>
    <phoneticPr fontId="2" type="noConversion"/>
  </si>
  <si>
    <t>농약관리법(법률) 제17조의3(제품등록의유효기간및재등록)</t>
    <phoneticPr fontId="2" type="noConversion"/>
  </si>
  <si>
    <t>농약관리법(법률) 제11조(품목등록의유효기간및재등록)</t>
    <phoneticPr fontId="2" type="noConversion"/>
  </si>
  <si>
    <t>농약관리법 시행규칙(농림축산식품부령) 제16조(품목의재등록신청등)</t>
    <phoneticPr fontId="2" type="noConversion"/>
  </si>
  <si>
    <t>농약관리법 시행령(대통령령) 제9조(이화학적분석등을적은서류의제출면제대상원제)</t>
    <phoneticPr fontId="2" type="noConversion"/>
  </si>
  <si>
    <t>농약관리법 시행규칙(농림축산식품부령) 제21조의2(수입농약등의허가신청등)</t>
    <phoneticPr fontId="2" type="noConversion"/>
  </si>
  <si>
    <t>농약관리법 시행규칙(농림축산식품부령) 제21조(수입농약등의등록신청등)</t>
    <phoneticPr fontId="2" type="noConversion"/>
  </si>
  <si>
    <t>농약관리법(법률) 제31조(권한의위임위탁)</t>
    <phoneticPr fontId="2" type="noConversion"/>
  </si>
  <si>
    <t>농약관리법 시행령(대통령령) 제22조(권한의위임위탁)</t>
    <phoneticPr fontId="2" type="noConversion"/>
  </si>
  <si>
    <t>농약관리법 시행령(대통령령) 제21조의4(조정위원회구성등의권한위임)</t>
    <phoneticPr fontId="2" type="noConversion"/>
  </si>
  <si>
    <t>농약관리법 시행규칙(농림축산식품부령) 제7조(제조업자등의지위승계신고)</t>
    <phoneticPr fontId="2" type="noConversion"/>
  </si>
  <si>
    <t>농약관리법(법률) 제5조(제조업자등의지위승계)</t>
    <phoneticPr fontId="2" type="noConversion"/>
  </si>
  <si>
    <t>농약관리법(법률) 제4조(결격사유)</t>
    <phoneticPr fontId="2" type="noConversion"/>
  </si>
  <si>
    <t>농약관리법 시행규칙(농림축산식품부령) 제16조의2(품목등록자의지위승계신고)</t>
    <phoneticPr fontId="2" type="noConversion"/>
  </si>
  <si>
    <t>농약관리법 시행규칙(농림축산식품부령) 제6조(제조업등의인력시설및장비등의기준)</t>
    <phoneticPr fontId="2" type="noConversion"/>
  </si>
  <si>
    <t>농약관리법(법률) 제3조(영업의등록등)</t>
    <phoneticPr fontId="2" type="noConversion"/>
  </si>
  <si>
    <t>농약관리법 시행규칙(농림축산식품부령) 제3조(제조업원제업또는수입업의등록신청등)</t>
    <phoneticPr fontId="2" type="noConversion"/>
  </si>
  <si>
    <t>농약관리법 시행규칙(농림축산식품부령) 제6조의2(수출입식물방제업 등의인력시설장비등의기준)</t>
    <phoneticPr fontId="2" type="noConversion"/>
  </si>
  <si>
    <t>농약관리법 시행령(대통령령) 제1조(목적)</t>
    <phoneticPr fontId="2" type="noConversion"/>
  </si>
  <si>
    <t>먹는물관리법(법률) 제21조(영업의허가등)</t>
    <phoneticPr fontId="2" type="noConversion"/>
  </si>
  <si>
    <t>먹는물관리법 시행규칙(환경부령) 제10조(영업의허가등)</t>
    <phoneticPr fontId="2" type="noConversion"/>
  </si>
  <si>
    <t>먹는물관리법 시행령(대통령령) 제3조(샘물또는염지하수의개발허가대상)</t>
    <phoneticPr fontId="2" type="noConversion"/>
  </si>
  <si>
    <t>먹는물관리법(법률) 제20조(시설기준)</t>
    <phoneticPr fontId="2" type="noConversion"/>
  </si>
  <si>
    <t>먹는물관리법 시행규칙(환경부령) 제16조(수입신고등)</t>
    <phoneticPr fontId="2" type="noConversion"/>
  </si>
  <si>
    <t>먹는물관리법(법률) 제26조(수입신고등)</t>
    <phoneticPr fontId="2" type="noConversion"/>
  </si>
  <si>
    <t>먹는물관리법(법률) 제42조(출입검사수거등)</t>
    <phoneticPr fontId="2" type="noConversion"/>
  </si>
  <si>
    <t>먹는물관리법 시행규칙(환경부령) 제4조(샘물등의개발의임시허가)</t>
    <phoneticPr fontId="2" type="noConversion"/>
  </si>
  <si>
    <t>먹는물관리법(법률) 제10조(샘물등의개발의임시허가)</t>
    <phoneticPr fontId="2" type="noConversion"/>
  </si>
  <si>
    <t>먹는물관리법(법률) 제53조(다른법률과의관계)</t>
    <phoneticPr fontId="2" type="noConversion"/>
  </si>
  <si>
    <t>먹는물관리법 시행규칙(환경부령) 제3조(샘물등의개발허가)</t>
    <phoneticPr fontId="2" type="noConversion"/>
  </si>
  <si>
    <t>먹는물관리법(법률) 제8조(먹는물공동시설의 관리)</t>
    <phoneticPr fontId="2" type="noConversion"/>
  </si>
  <si>
    <t>먹는물관리법 시행규칙(환경부령) 제2조(먹는물공동시설의 관리)</t>
    <phoneticPr fontId="2" type="noConversion"/>
  </si>
  <si>
    <t>먹는물관리법(법률) 제2조(책무)</t>
    <phoneticPr fontId="2" type="noConversion"/>
  </si>
  <si>
    <t>먹는물관리법(법률) 제5조(먹는물등의수질관리)</t>
    <phoneticPr fontId="2" type="noConversion"/>
  </si>
  <si>
    <t>먹는물관리법 시행령(대통령령) 제19조(과징금산정기준)</t>
    <phoneticPr fontId="2" type="noConversion"/>
  </si>
  <si>
    <t>먹는물관리법(법률) 제51조(과징금처분)</t>
    <phoneticPr fontId="2" type="noConversion"/>
  </si>
  <si>
    <t>먹는물관리법 시행령(대통령령) 제18조(과징금의납부)</t>
    <phoneticPr fontId="2" type="noConversion"/>
  </si>
  <si>
    <t>먹는물관리법 시행규칙(환경부령) 제43조(과징금의부과처분등)</t>
    <phoneticPr fontId="2" type="noConversion"/>
  </si>
  <si>
    <t>먹는물관리법(법률) 제27조(품질관리인)</t>
    <phoneticPr fontId="2" type="noConversion"/>
  </si>
  <si>
    <t>먹는물관리법 시행령(대통령령) 제6조(품질관리인의자격기준)</t>
    <phoneticPr fontId="2" type="noConversion"/>
  </si>
  <si>
    <t>먹는물관리법(법률) 제28조(품질관리교육)</t>
    <phoneticPr fontId="2" type="noConversion"/>
  </si>
  <si>
    <t>먹는물관리법 시행규칙(환경부령) 제17조(품질관리교육)</t>
    <phoneticPr fontId="2" type="noConversion"/>
  </si>
  <si>
    <t>먹는물관리법 시행규칙(환경부령) 제13조(조건부영업허가)</t>
    <phoneticPr fontId="2" type="noConversion"/>
  </si>
  <si>
    <t>먹는물관리법(법률) 제23조(조건부영업허가)</t>
    <phoneticPr fontId="2" type="noConversion"/>
  </si>
  <si>
    <t>먹는물관리법(법률) 제24조(영업허가등의제한)</t>
    <phoneticPr fontId="2" type="noConversion"/>
  </si>
  <si>
    <t>먹는물관리법(법률) 제25조(영업의승계)</t>
    <phoneticPr fontId="2" type="noConversion"/>
  </si>
  <si>
    <t>먹는물관리법 시행규칙(환경부령) 제15조(영업의승계)</t>
    <phoneticPr fontId="2" type="noConversion"/>
  </si>
  <si>
    <t>먹는물관리법 시행규칙(환경부령) 제11조(휴업등의신고)</t>
    <phoneticPr fontId="2" type="noConversion"/>
  </si>
  <si>
    <t>먹는물관리법(법률) 제46조(폐쇄조치등)</t>
    <phoneticPr fontId="2" type="noConversion"/>
  </si>
  <si>
    <t>먹는물관리법(법률) 제48조(허가의취소등)</t>
    <phoneticPr fontId="2" type="noConversion"/>
  </si>
  <si>
    <t>먹는물관리법(법률) 제51조의2(위반사실등의공표)</t>
    <phoneticPr fontId="2" type="noConversion"/>
  </si>
  <si>
    <t>먹는물관리법 시행령(대통령령) 제19조의2(위반사실등의공표)</t>
    <phoneticPr fontId="2" type="noConversion"/>
  </si>
  <si>
    <t>사료관리법 시행규칙(농림축산식품부령) 제5조(제조업의등록)</t>
    <phoneticPr fontId="2" type="noConversion"/>
  </si>
  <si>
    <t>사료관리법(법률) 제8조(제조업의등록등)</t>
    <phoneticPr fontId="2" type="noConversion"/>
  </si>
  <si>
    <t>사료관리법(법률) 제36조</t>
    <phoneticPr fontId="2" type="noConversion"/>
  </si>
  <si>
    <t>사료관리법(법률) 제8조의2(제조업등록의제한)</t>
    <phoneticPr fontId="2" type="noConversion"/>
  </si>
  <si>
    <t>사료관리법 시행규칙(농림축산식품부령) 제12조(사료성분의등록등)</t>
    <phoneticPr fontId="2" type="noConversion"/>
  </si>
  <si>
    <t>사료관리법(법률) 제12조(사료의성분등록및취소)</t>
    <phoneticPr fontId="2" type="noConversion"/>
  </si>
  <si>
    <t>사료관리법(법률) 제13조(사료의표시사항)</t>
    <phoneticPr fontId="2" type="noConversion"/>
  </si>
  <si>
    <t>사료관리법 시행규칙(농림축산식품부령) 제14조(사료의표시사항)</t>
    <phoneticPr fontId="2" type="noConversion"/>
  </si>
  <si>
    <t>사료관리법(법률) 제13조의2(유전자변형농수축산물등의 표시)</t>
    <phoneticPr fontId="2" type="noConversion"/>
  </si>
  <si>
    <t>사료관리법(법률) 제2조(정의)</t>
    <phoneticPr fontId="2" type="noConversion"/>
  </si>
  <si>
    <t>사료관리법 시행규칙(농림축산식품부령) 제16조(위해요소중점관리기준 적용사료공장의지정신청등)</t>
    <phoneticPr fontId="2" type="noConversion"/>
  </si>
  <si>
    <t>사료관리법(법률) 제16조(위해요소중점관리기준 )</t>
    <phoneticPr fontId="2" type="noConversion"/>
  </si>
  <si>
    <t>사료관리법 시행규칙(농림축산식품부령) 제18조(위해요소중점관리기준 적용사료공장의지정취소등)</t>
    <phoneticPr fontId="2" type="noConversion"/>
  </si>
  <si>
    <t>사료관리법 시행규칙(농림축산식품부령) 제22조(사료시험검사기관의 지정)</t>
    <phoneticPr fontId="2" type="noConversion"/>
  </si>
  <si>
    <t>사료관리법(법률) 제4조(적용배제)</t>
    <phoneticPr fontId="2" type="noConversion"/>
  </si>
  <si>
    <t>사료관리법 시행규칙(농림축산식품부령) 제3조(수출목적으로제조한사료에대한적용배제)</t>
    <phoneticPr fontId="2" type="noConversion"/>
  </si>
  <si>
    <t>사료관리법(법률) 제7조(사료의용도외판매금지)</t>
    <phoneticPr fontId="2" type="noConversion"/>
  </si>
  <si>
    <t>사료관리법 시행규칙(농림축산식품부령) 제4조(사료의용도)</t>
    <phoneticPr fontId="2" type="noConversion"/>
  </si>
  <si>
    <t>사료관리법(법률) 제19조(사료의수입신고등)</t>
    <phoneticPr fontId="2" type="noConversion"/>
  </si>
  <si>
    <t>사료관리법 시행규칙(농림축산식품부령) 제20조(사료의수입신고)</t>
    <phoneticPr fontId="2" type="noConversion"/>
  </si>
  <si>
    <t>사료관리법(법률) 제6조(사료의수입추천등)</t>
    <phoneticPr fontId="2" type="noConversion"/>
  </si>
  <si>
    <t>사료관리법(법률) 제20조(자가품질검사)</t>
    <phoneticPr fontId="2" type="noConversion"/>
  </si>
  <si>
    <t>사료관리법 시행규칙(농림축산식품부령) 제21조(자가품질검사)</t>
    <phoneticPr fontId="2" type="noConversion"/>
  </si>
  <si>
    <t>사료관리법 시행규칙(농림축산식품부령) 제15조(위해요소중점관리기준의 작성운용등)</t>
    <phoneticPr fontId="2" type="noConversion"/>
  </si>
  <si>
    <t>사료관리법 시행규칙(농림축산식품부령) 제30조(검정방법등)</t>
    <phoneticPr fontId="2" type="noConversion"/>
  </si>
  <si>
    <t>사료관리법 시행규칙(농림축산식품부령) 제23조(사료검사의종류)</t>
    <phoneticPr fontId="2" type="noConversion"/>
  </si>
  <si>
    <t>사료관리법(법률) 제21조(사료검사)</t>
    <phoneticPr fontId="2" type="noConversion"/>
  </si>
  <si>
    <t>사료관리법 시행규칙(농림축산식품부령) 제25조(사료의검사방법등)</t>
    <phoneticPr fontId="2" type="noConversion"/>
  </si>
  <si>
    <t>사료관리법(법률) 제27조(감독)</t>
    <phoneticPr fontId="2" type="noConversion"/>
  </si>
  <si>
    <t>사료관리법 시행규칙(농림축산식품부령) 제7조(시설변경의신고범위등)</t>
    <phoneticPr fontId="2" type="noConversion"/>
  </si>
  <si>
    <t>사료관리법 시행규칙(농림축산식품부령) 제6조(제조업의시설기준)</t>
    <phoneticPr fontId="2" type="noConversion"/>
  </si>
  <si>
    <t>사료관리법 시행규칙(농림축산식품부령) 제31조(변경신고)</t>
    <phoneticPr fontId="2" type="noConversion"/>
  </si>
  <si>
    <t>축산물 위생관리법(법률) 제7조(가축의 도살 등)</t>
    <phoneticPr fontId="2" type="noConversion"/>
  </si>
  <si>
    <t>축산물 위생관리법 시행규칙(총리령) 제5조의2(자가소비 또는 자가 조리판매하는 가축 또는 식육의 검사 등)</t>
    <phoneticPr fontId="2" type="noConversion"/>
  </si>
  <si>
    <t>축산물 위생관리법 시행규칙(총리령) 제2조(가축의 도살처리 및 집유의 기준)</t>
    <phoneticPr fontId="2" type="noConversion"/>
  </si>
  <si>
    <t>축산물 위생관리법 시행령(대통령령) 제12조의2(기립불능 가축 중 도축금지 대상)</t>
    <phoneticPr fontId="2" type="noConversion"/>
  </si>
  <si>
    <t>축산물 위생관리법 시행규칙(총리령) 제6조(위생관리기준 등)</t>
    <phoneticPr fontId="2" type="noConversion"/>
  </si>
  <si>
    <t>축산물 위생관리법(법률) 제8조(위생관리기준)</t>
    <phoneticPr fontId="2" type="noConversion"/>
  </si>
  <si>
    <t>축산물 위생관리법(법률) 제9조의3(안전관리인증기준의 준수 여부 평가 등)</t>
    <phoneticPr fontId="2" type="noConversion"/>
  </si>
  <si>
    <t>축산물 위생관리법(법률) 제9조(안전관리인증기준)</t>
    <phoneticPr fontId="2" type="noConversion"/>
  </si>
  <si>
    <t>축산물 위생관리법 시행규칙(총리령) 제7조의4(영업자 등에 대한 교육훈련)</t>
    <phoneticPr fontId="2" type="noConversion"/>
  </si>
  <si>
    <t>축산물 위생관리법(법률) 제30조(위생교육)</t>
    <phoneticPr fontId="2" type="noConversion"/>
  </si>
  <si>
    <t>축산물 위생관리법 시행규칙(총리령) 제50조의2(위생교육 대상자)</t>
    <phoneticPr fontId="2" type="noConversion"/>
  </si>
  <si>
    <t>축산물 위생관리법 시행규칙(총리령) 제49조(교육의 시기 및 방법 등)</t>
    <phoneticPr fontId="2" type="noConversion"/>
  </si>
  <si>
    <t>축산물 위생관리법(법률) 제4조(축산물의 기준 및 규격)</t>
    <phoneticPr fontId="2" type="noConversion"/>
  </si>
  <si>
    <t>축산물 위생관리법 시행규칙(총리령) 제53조(판매 등이 허용되는 축산물)</t>
    <phoneticPr fontId="2" type="noConversion"/>
  </si>
  <si>
    <t>축산물 위생관리법(법률) 제15조의2(수입판매 금지 등)</t>
    <phoneticPr fontId="2" type="noConversion"/>
  </si>
  <si>
    <t>축산물 위생관리법 시행령(대통령령) 제6조(위원장 및 부위원장의 직무)</t>
    <phoneticPr fontId="2" type="noConversion"/>
  </si>
  <si>
    <t>축산물 위생관리법 시행령(대통령령) 제12조(운영세칙)</t>
    <phoneticPr fontId="2" type="noConversion"/>
  </si>
  <si>
    <t>축산물 위생관리법 시행령(대통령령) 제9조(분과위원회)</t>
    <phoneticPr fontId="2" type="noConversion"/>
  </si>
  <si>
    <t>축산물 위생관리법 시행령(대통령령) 제7조(회의소집 및 의사결정)</t>
    <phoneticPr fontId="2" type="noConversion"/>
  </si>
  <si>
    <t>축산물 위생관리법 시행령(대통령령) 제6조의3(위원의 제척기피회피)</t>
    <phoneticPr fontId="2" type="noConversion"/>
  </si>
  <si>
    <t>축산물 위생관리법 시행령(대통령령) 제6조의2(위원의 해촉)</t>
    <phoneticPr fontId="2" type="noConversion"/>
  </si>
  <si>
    <t>축산물 위생관리법 시행규칙(총리령) 제61조(벌칙에서 제외되는 자)</t>
    <phoneticPr fontId="2" type="noConversion"/>
  </si>
  <si>
    <t>축산물 위생관리법 시행령(대통령령) 제10조(간사)</t>
    <phoneticPr fontId="2" type="noConversion"/>
  </si>
  <si>
    <t>축산물 위생관리법 시행령(대통령령) 제20조의3(명예축산물위생감시원의 위촉 등)</t>
    <phoneticPr fontId="2" type="noConversion"/>
  </si>
  <si>
    <t>축산물 위생관리법 시행령(대통령령) 제20조의2(축산물위생감시원의 자격 및 직무범위 등)</t>
    <phoneticPr fontId="2" type="noConversion"/>
  </si>
  <si>
    <t>축산물 위생관리법(법률) 제2조(정의)</t>
    <phoneticPr fontId="2" type="noConversion"/>
  </si>
  <si>
    <t>축산물 위생관리법 시행령(대통령령) 제2조(가축의 범위 등)</t>
    <phoneticPr fontId="2" type="noConversion"/>
  </si>
  <si>
    <t>축산물 위생관리법 시행령(대통령령) 제12조의7(축산물의 포장 등)</t>
    <phoneticPr fontId="2" type="noConversion"/>
  </si>
  <si>
    <t>축산물 위생관리법(법률) 제3조의2(축산물위생심의위원회의 설치 등)</t>
    <phoneticPr fontId="2" type="noConversion"/>
  </si>
  <si>
    <t>축산물 위생관리법 시행령(대통령령) 제9조의2(연구위원)</t>
    <phoneticPr fontId="2" type="noConversion"/>
  </si>
  <si>
    <t>축산물 위생관리법(법률) 제10조(부정행위의 금지)</t>
    <phoneticPr fontId="2" type="noConversion"/>
  </si>
  <si>
    <t>축산물 위생관리법 시행규칙(총리령) 제9조(도축하는 가축 및 그 식육의 검사)</t>
    <phoneticPr fontId="2" type="noConversion"/>
  </si>
  <si>
    <t>축산물 위생관리법 시행규칙(총리령) 제5조(도축장 외의 장소에서 도살처리한 가축의 신고 등)</t>
    <phoneticPr fontId="2" type="noConversion"/>
  </si>
  <si>
    <t>축산물 위생관리법 시행령(대통령령) 제21조(영업의 세부 종류와 범위)</t>
    <phoneticPr fontId="2" type="noConversion"/>
  </si>
  <si>
    <t>식품ㆍ의약품분야 시험ㆍ검사 등에 관한 법률 시행규칙(총리령) 제5조(시험검사기관지정유효기간의연장)</t>
    <phoneticPr fontId="2" type="noConversion"/>
  </si>
  <si>
    <t>식품ㆍ의약품분야 시험ㆍ검사 등에 관한 법률 시행규칙(총리령) 제8조의2(국외시험 검사기관지정유효기간의연장)</t>
    <phoneticPr fontId="2" type="noConversion"/>
  </si>
  <si>
    <t>식품ㆍ의약품분야 시험ㆍ검사 등에 관한 법률 시행규칙(총리령) 제2조(시험검사기관의지정)</t>
    <phoneticPr fontId="2" type="noConversion"/>
  </si>
  <si>
    <t>식품ㆍ의약품분야 시험ㆍ검사 등에 관한 법률(법률) 제7조(시험검사기관지정의유효기간등)</t>
    <phoneticPr fontId="2" type="noConversion"/>
  </si>
  <si>
    <t>식품ㆍ의약품분야 시험ㆍ검사 등에 관한 법률(법률) 제6조(시험검사기관의지정등)</t>
    <phoneticPr fontId="2" type="noConversion"/>
  </si>
  <si>
    <t>식품ㆍ의약품분야 시험ㆍ검사 등에 관한 법률 시행규칙(총리령) 제17조(우수시험 검사기관의변경지정)</t>
    <phoneticPr fontId="2" type="noConversion"/>
  </si>
  <si>
    <t>식품ㆍ의약품분야 시험ㆍ검사 등에 관한 법률 시행규칙(총리령) 제4조(시험검사기관의지정사항변경)</t>
    <phoneticPr fontId="2" type="noConversion"/>
  </si>
  <si>
    <t>식품ㆍ의약품분야 시험ㆍ검사 등에 관한 법률 시행규칙(총리령) 제8조(국외시험 검사기관의지정사항변경)</t>
    <phoneticPr fontId="2" type="noConversion"/>
  </si>
  <si>
    <t>식품ㆍ의약품분야 시험ㆍ검사 등에 관한 법률(법률) 제8조(국외시험 검사기관의지정등)</t>
    <phoneticPr fontId="2" type="noConversion"/>
  </si>
  <si>
    <t>식품ㆍ의약품분야 시험ㆍ검사 등에 관한 법률 시행규칙(총리령) 제7조(국외시험 검사기관의지정등)</t>
    <phoneticPr fontId="2" type="noConversion"/>
  </si>
  <si>
    <t>식품ㆍ의약품분야 시험ㆍ검사 등에 관한 법률 시행규칙(총리령) 제8조의3(국외시험 검사기관의재지정)</t>
    <phoneticPr fontId="2" type="noConversion"/>
  </si>
  <si>
    <t>식품ㆍ의약품분야 시험ㆍ검사 등에 관한 법률(법률) 제25조(청문)</t>
    <phoneticPr fontId="2" type="noConversion"/>
  </si>
  <si>
    <t>식품ㆍ의약품분야 시험ㆍ검사 등에 관한 법률(법률) 제13조(우수시험 검사기관의지정)</t>
    <phoneticPr fontId="2" type="noConversion"/>
  </si>
  <si>
    <t>식품ㆍ의약품분야 시험ㆍ검사 등에 관한 법률 시행규칙(총리령) 제16조(우수시험 검사기관의지정등)</t>
    <phoneticPr fontId="2" type="noConversion"/>
  </si>
  <si>
    <t>식품ㆍ의약품분야 시험ㆍ검사 등에 관한 법률 시행규칙(총리령) 제18조(우수시험 검사기관의지정취소)</t>
    <phoneticPr fontId="2" type="noConversion"/>
  </si>
  <si>
    <t>식품ㆍ의약품분야 시험ㆍ검사 등에 관한 법률 시행규칙(총리령) 제22조(시험검사인력등의교육기관지정)</t>
    <phoneticPr fontId="2" type="noConversion"/>
  </si>
  <si>
    <t>식품ㆍ의약품분야 시험ㆍ검사 등에 관한 법률(법률) 제18조(교육기관)</t>
    <phoneticPr fontId="2" type="noConversion"/>
  </si>
  <si>
    <t>식품ㆍ의약품분야 시험ㆍ검사 등에 관한 법률(법률) 제19조(폐쇄조치등)</t>
    <phoneticPr fontId="2" type="noConversion"/>
  </si>
  <si>
    <t>식품ㆍ의약품분야 시험ㆍ검사 등에 관한 법률 시행령(대통령령) 제9조(시험검사의운영체계확립사업)</t>
    <phoneticPr fontId="2" type="noConversion"/>
  </si>
  <si>
    <t>식품ㆍ의약품분야 시험ㆍ검사 등에 관한 법률 시행규칙(총리령) 제10조(시험검사기관등에대한행정처분기준)</t>
    <phoneticPr fontId="2" type="noConversion"/>
  </si>
  <si>
    <t>식품ㆍ의약품분야 시험ㆍ검사 등에 관한 법률(법률) 제10조(시험검사기관의지정취소등)</t>
    <phoneticPr fontId="2" type="noConversion"/>
  </si>
  <si>
    <t>식품ㆍ의약품분야 시험ㆍ검사 등에 관한 법률(법률) 제20조(과징금)</t>
    <phoneticPr fontId="2" type="noConversion"/>
  </si>
  <si>
    <t>식품ㆍ의약품분야 시험ㆍ검사 등에 관한 법률 시행령(대통령령) 제12조(과징금미납자에대한업무정지처분)</t>
    <phoneticPr fontId="2" type="noConversion"/>
  </si>
  <si>
    <t>식품ㆍ의약품분야 시험ㆍ검사 등에 관한 법률(법률) 제11조(시험검사의절차등)</t>
    <phoneticPr fontId="2" type="noConversion"/>
  </si>
  <si>
    <t>식품ㆍ의약품분야 시험ㆍ검사 등에 관한 법률 시행규칙(총리령) 제13조(시험검사실적의보고)</t>
    <phoneticPr fontId="2" type="noConversion"/>
  </si>
  <si>
    <t>식품ㆍ의약품분야 시험ㆍ검사 등에 관한 법률 시행규칙(총리령) 제20조(시험검사능력평가및관리)</t>
    <phoneticPr fontId="2" type="noConversion"/>
  </si>
  <si>
    <t>식품ㆍ의약품분야 시험ㆍ검사 등에 관한 법률(법률) 제16조(시험검사능력평가및관리)</t>
    <phoneticPr fontId="2" type="noConversion"/>
  </si>
  <si>
    <t>식품ㆍ의약품분야 시험ㆍ검사 등에 관한 법률 시행령(대통령령) 제14조(권한의위임)</t>
    <phoneticPr fontId="2" type="noConversion"/>
  </si>
  <si>
    <t>식품ㆍ의약품분야 시험ㆍ검사 등에 관한 법률 시행규칙(총리령) 제3조(총리령으로정하는시험검사기관)</t>
    <phoneticPr fontId="2" type="noConversion"/>
  </si>
  <si>
    <t>식품ㆍ의약품분야 시험ㆍ검사 등에 관한 법률 시행규칙(총리령) 제11조(시험검사의기준및방법)</t>
    <phoneticPr fontId="2" type="noConversion"/>
  </si>
  <si>
    <t>건강기능식품에 관한 법률 시행규칙(총리령) 제3조(영업허가의신청)</t>
    <phoneticPr fontId="2" type="noConversion"/>
  </si>
  <si>
    <t>건강기능식품에 관한 법률(법률) 제5조(영업의허가등)</t>
    <phoneticPr fontId="2" type="noConversion"/>
  </si>
  <si>
    <t>건강기능식품에 관한 법률 시행규칙(총리령) 제4조(허가사항의변경)</t>
    <phoneticPr fontId="2" type="noConversion"/>
  </si>
  <si>
    <t>건강기능식품에 관한 법률 시행령(대통령령) 제2조(영업의종류)</t>
    <phoneticPr fontId="2" type="noConversion"/>
  </si>
  <si>
    <t>건강기능식품에 관한 법률(법률) 제6조(영업의신고등)</t>
    <phoneticPr fontId="2" type="noConversion"/>
  </si>
  <si>
    <t>건강기능식품에 관한 법률 시행규칙(총리령) 제8조(품목제조신고등)</t>
    <phoneticPr fontId="2" type="noConversion"/>
  </si>
  <si>
    <t>건강기능식품에 관한 법률(법률) 제7조(품목제조신고등)</t>
    <phoneticPr fontId="2" type="noConversion"/>
  </si>
  <si>
    <t>건강기능식품에 관한 법률 시행규칙(총리령) 제9조(품목제조신고사항의 변경신고)</t>
    <phoneticPr fontId="2" type="noConversion"/>
  </si>
  <si>
    <t>건강기능식품에 관한 법률 시행규칙(총리령) 제5조(영업의신고등)</t>
    <phoneticPr fontId="2" type="noConversion"/>
  </si>
  <si>
    <t>건강기능식품에 관한 법률(법률) 제12조(품질관리인)</t>
    <phoneticPr fontId="2" type="noConversion"/>
  </si>
  <si>
    <t>건강기능식품에 관한 법률 시행령(대통령령) 제4조(품질관리인의자격기준)</t>
    <phoneticPr fontId="2" type="noConversion"/>
  </si>
  <si>
    <t>건강기능식품에 관한 법률 시행규칙(총리령) 제16조(품질관리인의선임해임신고)</t>
    <phoneticPr fontId="2" type="noConversion"/>
  </si>
  <si>
    <t>건강기능식품에 관한 법률 시행규칙(총리령) 제15조(품질관리인의수)</t>
    <phoneticPr fontId="2" type="noConversion"/>
  </si>
  <si>
    <t>건강기능식품에 관한 법률(법률) 제10조(영업자의준수사항)</t>
    <phoneticPr fontId="2" type="noConversion"/>
  </si>
  <si>
    <t>건강기능식품에 관한 법률(법률) 제2조(책무)</t>
    <phoneticPr fontId="2" type="noConversion"/>
  </si>
  <si>
    <t>건강기능식품에 관한 법률 시행령(대통령령) 제5조(품질관리인의준수사항)</t>
    <phoneticPr fontId="2" type="noConversion"/>
  </si>
  <si>
    <t>건강기능식품에 관한 법률(법률) 제24조(기준규격위반건강기능식품의판매등의금지)</t>
    <phoneticPr fontId="2" type="noConversion"/>
  </si>
  <si>
    <t>건강기능식품에 관한 법률 시행규칙(총리령) 제16조의3(맞춤형건강기능식품관리사의 수)</t>
    <phoneticPr fontId="2" type="noConversion"/>
  </si>
  <si>
    <t>건강기능식품에 관한 법률(법률) 제12조의3(맞춤형건강기능식품관리사 )</t>
    <phoneticPr fontId="2" type="noConversion"/>
  </si>
  <si>
    <t>건강기능식품에 관한 법률 시행령(대통령령) 제5조의2(맞춤형건강기능식품관리사의 자격기준)</t>
    <phoneticPr fontId="2" type="noConversion"/>
  </si>
  <si>
    <t>건강기능식품에 관한 법률 시행규칙(총리령) 제25조의4(우수건강기능식품제조기준 등)</t>
    <phoneticPr fontId="2" type="noConversion"/>
  </si>
  <si>
    <t>건강기능식품에 관한 법률 시행령(대통령령) 제3조의3(이상사례의보고접수업무등의위탁)</t>
    <phoneticPr fontId="2" type="noConversion"/>
  </si>
  <si>
    <t>건강기능식품에 관한 법률(법률) 제10조의2(이상사례의보고등)</t>
    <phoneticPr fontId="2" type="noConversion"/>
  </si>
  <si>
    <t>건강기능식품에 관한 법률 시행규칙(총리령) 제13조의2(이상사례의보고)</t>
    <phoneticPr fontId="2" type="noConversion"/>
  </si>
  <si>
    <t>건강기능식품에 관한 법률 시행령(대통령령) 제20조(권한의위임및위탁등)</t>
    <phoneticPr fontId="2" type="noConversion"/>
  </si>
  <si>
    <t>건강기능식품에 관한 법률(법률) 제11조(영업의승계)</t>
    <phoneticPr fontId="2" type="noConversion"/>
  </si>
  <si>
    <t>건강기능식품에 관한 법률 시행규칙(총리령) 제14조(영업자의지위승계신고)</t>
    <phoneticPr fontId="2" type="noConversion"/>
  </si>
  <si>
    <t>건강기능식품에 관한 법률(법률) 제34조(행정제재처분효과의승계)</t>
    <phoneticPr fontId="2" type="noConversion"/>
  </si>
  <si>
    <t>수입식품안전관리 특별법 시행규칙(총리령) 제2조(해외제조업소의 등록 등)</t>
    <phoneticPr fontId="2" type="noConversion"/>
  </si>
  <si>
    <t>수입식품안전관리 특별법(법률) 제5조(해외제조업소 등록)</t>
    <phoneticPr fontId="2" type="noConversion"/>
  </si>
  <si>
    <t>수입식품안전관리 특별법 시행규칙(총리령) 제12조(해외작업장의 등록 등)</t>
    <phoneticPr fontId="2" type="noConversion"/>
  </si>
  <si>
    <t>수입식품안전관리 특별법(법률) 제5조의2(해외제조업소의 등록 취소 등)</t>
    <phoneticPr fontId="2" type="noConversion"/>
  </si>
  <si>
    <t>수입식품안전관리 특별법(법률) 제6조의2(해외제조업소 식품안전관리인증 등)</t>
    <phoneticPr fontId="2" type="noConversion"/>
  </si>
  <si>
    <t>수입식품안전관리 특별법 시행규칙(총리령) 제3조(수입중단 조치 및 해제조치의 절차)</t>
    <phoneticPr fontId="2" type="noConversion"/>
  </si>
  <si>
    <t>수입식품안전관리 특별법(법률) 제6조(해외제조업소의 현지실사)</t>
    <phoneticPr fontId="2" type="noConversion"/>
  </si>
  <si>
    <t>수입식품안전관리 특별법 시행규칙(총리령) 제14조(해외작업장의 등록 취소 등)</t>
    <phoneticPr fontId="2" type="noConversion"/>
  </si>
  <si>
    <t>수입식품안전관리 특별법(법률) 제21조(수입검사 등)</t>
    <phoneticPr fontId="2" type="noConversion"/>
  </si>
  <si>
    <t>수입식품안전관리 특별법 시행규칙(총리령) 제4조(우수수입업소 등록 등)</t>
    <phoneticPr fontId="2" type="noConversion"/>
  </si>
  <si>
    <t>수입식품안전관리 특별법(법률) 제7조(우수수입업소 등록 등)</t>
    <phoneticPr fontId="2" type="noConversion"/>
  </si>
  <si>
    <t>수입식품안전관리 특별법(법률) 제10조의2(특별위생관리식품의 수입위생평가 등)</t>
    <phoneticPr fontId="2" type="noConversion"/>
  </si>
  <si>
    <t>수입식품안전관리 특별법 시행규칙(총리령) 제10조의2(특별위생관리식품의 수입위생평가 등)</t>
    <phoneticPr fontId="2" type="noConversion"/>
  </si>
  <si>
    <t>수입식품안전관리 특별법 시행령(대통령령) 제2조(영업의 종류와 범위)</t>
    <phoneticPr fontId="2" type="noConversion"/>
  </si>
  <si>
    <t>수입식품안전관리 특별법(법률) 제14조(영업의 종류와 시설기준)</t>
    <phoneticPr fontId="2" type="noConversion"/>
  </si>
  <si>
    <t>수입식품안전관리 특별법(법률) 제3조(책무)</t>
    <phoneticPr fontId="2" type="noConversion"/>
  </si>
  <si>
    <t>수입식품안전관리 특별법(법률) 제2조(정의)</t>
    <phoneticPr fontId="2" type="noConversion"/>
  </si>
  <si>
    <t>수입식품안전관리 특별법 시행령(대통령령) 제6조(행정응원의 절차 등)</t>
    <phoneticPr fontId="2" type="noConversion"/>
  </si>
  <si>
    <t>수입식품안전관리 특별법(법률) 제25조(출입검사수거 등)</t>
    <phoneticPr fontId="2" type="noConversion"/>
  </si>
  <si>
    <t>수입식품안전관리 특별법 시행규칙(총리령) 제49조의3(자료 또는 정보의 제공 및 연계 요청)</t>
    <phoneticPr fontId="2" type="noConversion"/>
  </si>
  <si>
    <t>수입식품안전관리 특별법 시행규칙(총리령) 제34조(수입식품등의 사후관리)</t>
    <phoneticPr fontId="2" type="noConversion"/>
  </si>
  <si>
    <t>수입식품안전관리 특별법 시행령(대통령령) 제7조(등록취소 등)</t>
    <phoneticPr fontId="2" type="noConversion"/>
  </si>
  <si>
    <t>수입식품안전관리 특별법(법률) 제29조(등록취소 등)</t>
    <phoneticPr fontId="2" type="noConversion"/>
  </si>
  <si>
    <t>수입식품안전관리 특별법(법률) 제33조(영업정지 등의 처분을 갈음하여 부과하는 과징금 처분)</t>
    <phoneticPr fontId="2" type="noConversion"/>
  </si>
  <si>
    <t>수입식품안전관리 특별법(법률) 제31조(폐쇄조치 등)</t>
    <phoneticPr fontId="2" type="noConversion"/>
  </si>
  <si>
    <t>수입식품안전관리 특별법 시행령(대통령령) 제12조(위해 수입식품등의 판매 등에 따른 과징금의 산정기준 등)</t>
    <phoneticPr fontId="2" type="noConversion"/>
  </si>
  <si>
    <t>수입식품안전관리 특별법(법률) 제34조(위해 수입식품등의 판매 등에 따른 과징금 부과 등)</t>
    <phoneticPr fontId="2" type="noConversion"/>
  </si>
  <si>
    <t>수입식품안전관리 특별법 시행령(대통령령) 제9조(영업정지 처분을 갈음하여 부과하는 과징금의 산정기준)</t>
    <phoneticPr fontId="2" type="noConversion"/>
  </si>
  <si>
    <t>수입식품안전관리 특별법 시행령(대통령령) 제10조(과징금의 부과 및 납부 절차)</t>
    <phoneticPr fontId="2" type="noConversion"/>
  </si>
  <si>
    <t>수입식품안전관리 특별법 시행규칙(총리령) 제7조(해외식품 위생평가기관의 지정 등)</t>
    <phoneticPr fontId="2" type="noConversion"/>
  </si>
  <si>
    <t>수입식품안전관리 특별법(법률) 제10조(해외식품 위생평가기관 지정 등)</t>
    <phoneticPr fontId="2" type="noConversion"/>
  </si>
  <si>
    <t>수입식품안전관리 특별법 시행규칙(총리령) 제9조(해외식품 위생평가기관 지정의 유효기간 연장 및 재지정)</t>
    <phoneticPr fontId="2" type="noConversion"/>
  </si>
  <si>
    <t>수입식품안전관리 특별법 시행규칙(총리령) 제10조(해외식품 위생평가기관 지정취소 등 처분기준)</t>
    <phoneticPr fontId="2" type="noConversion"/>
  </si>
  <si>
    <t>식품위생법 시행규칙(총리령) 제5조(식품등의 한시적 기준 및 규격의 인정 등)</t>
    <phoneticPr fontId="2" type="noConversion"/>
  </si>
  <si>
    <t>식품위생법(법률) 제3조(식품 등의 취급)</t>
    <phoneticPr fontId="2" type="noConversion"/>
  </si>
  <si>
    <t>식품위생법(법률) 제7조(식품 또는 식품첨가물에 관한 기준 및 규격)</t>
    <phoneticPr fontId="2" type="noConversion"/>
  </si>
  <si>
    <t>식품위생법(법률) 제2조(정의)</t>
    <phoneticPr fontId="2" type="noConversion"/>
  </si>
  <si>
    <t>식품위생법(법률) 제5조(병든 동물 고기 등의 판매 등 금지)</t>
    <phoneticPr fontId="2" type="noConversion"/>
  </si>
  <si>
    <t>식품위생법 시행규칙(총리령) 제4조(판매 등이 금지되는 병든 동물 고기 등)</t>
    <phoneticPr fontId="2" type="noConversion"/>
  </si>
  <si>
    <t>식품위생법 시행규칙(총리령) 제3조(판매 등이 허용되는 식품등)</t>
    <phoneticPr fontId="2" type="noConversion"/>
  </si>
  <si>
    <t>식품위생법(법률) 제4조(위해식품등의 판매 등 금지)</t>
    <phoneticPr fontId="2" type="noConversion"/>
  </si>
  <si>
    <t>식품위생법 시행규칙(총리령) 제31조의2(자가품질검사의무의 면제)</t>
    <phoneticPr fontId="2" type="noConversion"/>
  </si>
  <si>
    <t>식품위생법(법률) 제31조의2(자가품질검사의무의 면제)</t>
    <phoneticPr fontId="2" type="noConversion"/>
  </si>
  <si>
    <t>식품위생법(법률) 제31조(자가품질검사 의무)</t>
    <phoneticPr fontId="2" type="noConversion"/>
  </si>
  <si>
    <t>식품위생법(법률) 제31조의3(자가품질검사의 확인검사)</t>
    <phoneticPr fontId="2" type="noConversion"/>
  </si>
  <si>
    <t>식품위생법(법률) 제19조의4(검사명령 등)</t>
    <phoneticPr fontId="2" type="noConversion"/>
  </si>
  <si>
    <t>식품위생법(법률) 제44조(영업자 등의 준수사항)</t>
    <phoneticPr fontId="2" type="noConversion"/>
  </si>
  <si>
    <t>식품위생법(법률) 제71조(시정명령)</t>
    <phoneticPr fontId="2" type="noConversion"/>
  </si>
  <si>
    <t>식품위생법 시행규칙(총리령) 제15조의8(검사명령 이행기한)</t>
    <phoneticPr fontId="2" type="noConversion"/>
  </si>
  <si>
    <t>식품위생법(법률) 제17조(위해식품등에 대한 긴급대응)</t>
    <phoneticPr fontId="2" type="noConversion"/>
  </si>
  <si>
    <t>식품위생법 시행규칙(총리령) 제10조(긴급대응의 대상 등)</t>
    <phoneticPr fontId="2" type="noConversion"/>
  </si>
  <si>
    <t>식품위생법 시행령(대통령령) 제7조(위해식품등에 대한 긴급대응)</t>
    <phoneticPr fontId="2" type="noConversion"/>
  </si>
  <si>
    <t>식품위생법(법률) 제15조(위해평가)</t>
    <phoneticPr fontId="2" type="noConversion"/>
  </si>
  <si>
    <t>식품위생법(법률) 제12조의2(유전자변형식품등의 표시)</t>
    <phoneticPr fontId="2" type="noConversion"/>
  </si>
  <si>
    <t>식품위생법 시행령(대통령령) 제9조(유전자변형식품등의 안전성 심사)</t>
    <phoneticPr fontId="2" type="noConversion"/>
  </si>
  <si>
    <t>식품위생법(법률) 제8조(유독기구 등의 판매사용 금지)</t>
    <phoneticPr fontId="2" type="noConversion"/>
  </si>
  <si>
    <t>식품위생법 시행령(대통령령) 제25조(영업신고를 하여야 하는 업종)</t>
    <phoneticPr fontId="2" type="noConversion"/>
  </si>
  <si>
    <t>식품위생법 시행령(대통령령) 제21조(영업의 종류)</t>
    <phoneticPr fontId="2" type="noConversion"/>
  </si>
  <si>
    <t>식품위생법(법률) 제36조(시설기준)</t>
    <phoneticPr fontId="2" type="noConversion"/>
  </si>
  <si>
    <t>식품위생법 시행령(대통령령) 제27조(식품위생교육의 대상)</t>
    <phoneticPr fontId="2" type="noConversion"/>
  </si>
  <si>
    <t>식품위생법 시행령(대통령령) 제30조(책임보험의 종류 등)</t>
    <phoneticPr fontId="2" type="noConversion"/>
  </si>
  <si>
    <t>식품위생법(법률) 제44조의2(보험 가입)</t>
    <phoneticPr fontId="2" type="noConversion"/>
  </si>
  <si>
    <t>식품위생법 시행령(대통령령) 제66조(규제의 재검토)</t>
    <phoneticPr fontId="2" type="noConversion"/>
  </si>
  <si>
    <t>식품위생법(법률) 제23조(식품등의 재검사)</t>
    <phoneticPr fontId="2" type="noConversion"/>
  </si>
  <si>
    <t>식품위생법 시행령(대통령령) 제50조(자율지도원의 임명 및 직무 등)</t>
    <phoneticPr fontId="2" type="noConversion"/>
  </si>
  <si>
    <t>식품위생법(법률) 제63조(자율지도원 등)</t>
    <phoneticPr fontId="2" type="noConversion"/>
  </si>
  <si>
    <t>식품위생법(법률) 제41조의2(위생관리책임자)</t>
    <phoneticPr fontId="2" type="noConversion"/>
  </si>
  <si>
    <t>식품위생법 시행령(대통령령) 제32조의2(위생등급 지정에 관한 업무의 위탁)</t>
    <phoneticPr fontId="2" type="noConversion"/>
  </si>
  <si>
    <t>식품위생법 시행령(대통령령) 제34조(식품안전관리인증기준적용업소에 관한 업무의 위탁 등)</t>
    <phoneticPr fontId="2" type="noConversion"/>
  </si>
  <si>
    <t>식품위생법 시행규칙(총리령) 제61조의2(위생등급의 지정절차 및 위생등급 공표표시의 방법 등)</t>
    <phoneticPr fontId="2" type="noConversion"/>
  </si>
  <si>
    <t>식품위생법(법률) 제47조의2(식품접객업소의 위생등급 지정 등)</t>
    <phoneticPr fontId="2" type="noConversion"/>
  </si>
  <si>
    <t>한국식품안전관리인증원의 설립 및 운영에 관한 법률 시행령(대통령령) 제3조(사업계획서등의제출)</t>
    <phoneticPr fontId="2" type="noConversion"/>
  </si>
  <si>
    <t>한국식품안전관리인증원의 설립 및 운영에 관한 법률(법률) 제13조(사업계획서등의제출)</t>
    <phoneticPr fontId="2" type="noConversion"/>
  </si>
  <si>
    <t>한국식품안전관리인증원의 설립 및 운영에 관한 법률 시행령(대통령령) 제2조(사업계획서및예산서의제출에관한특례)</t>
    <phoneticPr fontId="2" type="noConversion"/>
  </si>
  <si>
    <t>한국식품안전관리인증원의 설립 및 운영에 관한 법률(법률) 제12조(사업연도)</t>
    <phoneticPr fontId="2" type="noConversion"/>
  </si>
  <si>
    <t>한국식품안전관리인증원의 설립 및 운영에 관한 법률(법률) 제14조(지도감독등)</t>
    <phoneticPr fontId="2" type="noConversion"/>
  </si>
  <si>
    <t>한국식품안전관리인증원의 설립 및 운영에 관한 법률(법률) 제2조(법인격)</t>
    <phoneticPr fontId="2" type="noConversion"/>
  </si>
  <si>
    <t>한국식품안전관리인증원의 설립 및 운영에 관한 법률(법률) 제9조(직원의임면)</t>
    <phoneticPr fontId="2" type="noConversion"/>
  </si>
  <si>
    <t>한국식품안전관리인증원의 설립 및 운영에 관한 법률(법률) 제10조(운영재원)</t>
    <phoneticPr fontId="2" type="noConversion"/>
  </si>
  <si>
    <t>한국식품안전관리인증원의 설립 및 운영에 관한 법률(법률) 제4조(사무소)</t>
    <phoneticPr fontId="2" type="noConversion"/>
  </si>
  <si>
    <t>한국식품안전관리인증원의 설립 및 운영에 관한 법률(법률) 제5조(정관)</t>
    <phoneticPr fontId="2" type="noConversion"/>
  </si>
  <si>
    <t>한국식품안전관리인증원의 설립 및 운영에 관한 법률(법률) 제11조(보조금)</t>
    <phoneticPr fontId="2" type="noConversion"/>
  </si>
  <si>
    <t>한국식품안전관리인증원의 설립 및 운영에 관한 법률(법률) 제8조(이사회)</t>
    <phoneticPr fontId="2" type="noConversion"/>
  </si>
  <si>
    <t>한국식품안전관리인증원의 설립 및 운영에 관한 법률 시행령(대통령령) 제1조(시행일)</t>
    <phoneticPr fontId="2" type="noConversion"/>
  </si>
  <si>
    <t>한국식품안전관리인증원의 설립 및 운영에 관한 법률(법률) 제7조(임원)</t>
    <phoneticPr fontId="2" type="noConversion"/>
  </si>
  <si>
    <t>한국식품안전관리인증원의 설립 및 운영에 관한 법률(법률) 제19조(벌칙)</t>
    <phoneticPr fontId="2" type="noConversion"/>
  </si>
  <si>
    <t>한국식품안전관리인증원의 설립 및 운영에 관한 법률(법률) 제16조(「민법」의준용)</t>
    <phoneticPr fontId="2" type="noConversion"/>
  </si>
  <si>
    <t>한국식품안전관리인증원의 설립 및 운영에 관한 법률(법률) 제15조(비밀엄수의의무)</t>
    <phoneticPr fontId="2" type="noConversion"/>
  </si>
  <si>
    <t>한국식품안전관리인증원의 설립 및 운영에 관한 법률(법률) 제20조(과태료)</t>
    <phoneticPr fontId="2" type="noConversion"/>
  </si>
  <si>
    <t>한국식품안전관리인증원의 설립 및 운영에 관한 법률(법률) 제17조(동일명칭의사용금지)</t>
    <phoneticPr fontId="2" type="noConversion"/>
  </si>
  <si>
    <t>한국식품안전관리인증원의 설립 및 운영에 관한 법률 시행령(대통령령) 제4조(과태료의부과기준)</t>
    <phoneticPr fontId="2" type="noConversion"/>
  </si>
  <si>
    <t>한국식품안전관리인증원의 설립 및 운영에 관한 법률 시행령(대통령령) 제1조(목적)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</si>
</sst>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6" fillId="3" borderId="3" xfId="0" applyFont="1" applyFill="1" applyBorder="1">
      <alignment vertical="center"/>
    </xf>
    <xf numFmtId="0" fontId="6" fillId="3" borderId="5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abSelected="1" topLeftCell="C448" zoomScale="55" zoomScaleNormal="55" workbookViewId="0">
      <selection activeCell="F470" sqref="F470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13" t="s">
        <v>582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118</v>
      </c>
      <c r="D3" s="4" t="s">
        <v>439</v>
      </c>
      <c r="E3" s="4" t="s">
        <v>583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472</v>
      </c>
      <c r="E4" s="4" t="s">
        <v>584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476</v>
      </c>
      <c r="E5" s="12" t="s">
        <v>585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4" t="s">
        <v>538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0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13" t="s">
        <v>586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4" t="s">
        <v>582</v>
      </c>
      <c r="F8" s="6" t="b">
        <f t="shared" si="0"/>
        <v>1</v>
      </c>
      <c r="G8" s="6">
        <f t="shared" si="1"/>
        <v>1</v>
      </c>
      <c r="H8" s="6" t="b">
        <f t="shared" si="2"/>
        <v>0</v>
      </c>
      <c r="I8" s="6">
        <f t="shared" si="3"/>
        <v>0</v>
      </c>
    </row>
    <row r="9" spans="1:12" ht="17.25" thickBot="1" x14ac:dyDescent="0.35">
      <c r="B9" s="4"/>
      <c r="C9" s="4"/>
      <c r="D9" s="4" t="s">
        <v>473</v>
      </c>
      <c r="E9" s="4" t="s">
        <v>587</v>
      </c>
      <c r="F9" s="6" t="b">
        <f t="shared" si="0"/>
        <v>1</v>
      </c>
      <c r="G9" s="6">
        <f t="shared" si="1"/>
        <v>1</v>
      </c>
      <c r="H9" s="6" t="b">
        <f t="shared" si="2"/>
        <v>0</v>
      </c>
      <c r="I9" s="6">
        <f t="shared" si="3"/>
        <v>0</v>
      </c>
    </row>
    <row r="10" spans="1:12" ht="17.25" thickBot="1" x14ac:dyDescent="0.35">
      <c r="B10" s="4"/>
      <c r="C10" s="4"/>
      <c r="D10" s="4" t="s">
        <v>475</v>
      </c>
      <c r="E10" s="12" t="s">
        <v>588</v>
      </c>
      <c r="F10" s="6" t="b">
        <f t="shared" si="0"/>
        <v>1</v>
      </c>
      <c r="G10" s="6">
        <f t="shared" si="1"/>
        <v>1</v>
      </c>
      <c r="H10" s="6" t="b">
        <f t="shared" si="2"/>
        <v>0</v>
      </c>
      <c r="I10" s="6">
        <f t="shared" si="3"/>
        <v>0</v>
      </c>
    </row>
    <row r="11" spans="1:12" ht="17.25" thickBot="1" x14ac:dyDescent="0.35">
      <c r="B11" s="5"/>
      <c r="C11" s="5"/>
      <c r="D11" s="4"/>
      <c r="E11" s="12" t="s">
        <v>501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 t="shared" ref="J11" si="4">IF(hascolor(E7:E11,$L$5)=TRUE, 1, 0)</f>
        <v>0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13" t="s">
        <v>589</v>
      </c>
      <c r="F12" s="6" t="b">
        <f t="shared" si="0"/>
        <v>1</v>
      </c>
      <c r="G12" s="6">
        <f t="shared" si="1"/>
        <v>1</v>
      </c>
      <c r="H12" s="6" t="b">
        <f t="shared" si="2"/>
        <v>0</v>
      </c>
      <c r="I12" s="6">
        <f t="shared" si="3"/>
        <v>0</v>
      </c>
    </row>
    <row r="13" spans="1:12" ht="17.25" thickBot="1" x14ac:dyDescent="0.35">
      <c r="B13" s="4"/>
      <c r="C13" s="4" t="s">
        <v>122</v>
      </c>
      <c r="D13" s="4" t="s">
        <v>438</v>
      </c>
      <c r="E13" s="12" t="s">
        <v>590</v>
      </c>
      <c r="F13" s="6" t="b">
        <f t="shared" si="0"/>
        <v>1</v>
      </c>
      <c r="G13" s="6">
        <f t="shared" si="1"/>
        <v>1</v>
      </c>
      <c r="H13" s="6" t="b">
        <f t="shared" si="2"/>
        <v>0</v>
      </c>
      <c r="I13" s="6">
        <f t="shared" si="3"/>
        <v>0</v>
      </c>
    </row>
    <row r="14" spans="1:12" ht="17.25" thickBot="1" x14ac:dyDescent="0.35">
      <c r="B14" s="4"/>
      <c r="C14" s="4"/>
      <c r="D14" s="4" t="s">
        <v>477</v>
      </c>
      <c r="E14" s="12" t="s">
        <v>591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4" t="s">
        <v>585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4" t="s">
        <v>539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5">IF(hascolor(E12:E16,$L$5)=TRUE, 1, 0)</f>
        <v>0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13" t="s">
        <v>592</v>
      </c>
      <c r="F17" s="6" t="b">
        <f t="shared" si="0"/>
        <v>1</v>
      </c>
      <c r="G17" s="6">
        <f t="shared" si="1"/>
        <v>1</v>
      </c>
      <c r="H17" s="6" t="b">
        <f t="shared" si="2"/>
        <v>0</v>
      </c>
      <c r="I17" s="6">
        <f t="shared" si="3"/>
        <v>0</v>
      </c>
    </row>
    <row r="18" spans="2:10" ht="17.25" thickBot="1" x14ac:dyDescent="0.35">
      <c r="B18" s="4"/>
      <c r="C18" s="4" t="s">
        <v>124</v>
      </c>
      <c r="D18" s="4" t="s">
        <v>124</v>
      </c>
      <c r="E18" s="12" t="s">
        <v>593</v>
      </c>
      <c r="F18" s="6" t="b">
        <f t="shared" si="0"/>
        <v>1</v>
      </c>
      <c r="G18" s="6">
        <f t="shared" si="1"/>
        <v>1</v>
      </c>
      <c r="H18" s="6" t="b">
        <f t="shared" si="2"/>
        <v>0</v>
      </c>
      <c r="I18" s="6">
        <f t="shared" si="3"/>
        <v>0</v>
      </c>
    </row>
    <row r="19" spans="2:10" ht="17.25" thickBot="1" x14ac:dyDescent="0.35">
      <c r="B19" s="4"/>
      <c r="C19" s="4"/>
      <c r="D19" s="4" t="s">
        <v>478</v>
      </c>
      <c r="E19" s="12" t="s">
        <v>594</v>
      </c>
      <c r="F19" s="6" t="b">
        <f t="shared" si="0"/>
        <v>1</v>
      </c>
      <c r="G19" s="6">
        <f t="shared" si="1"/>
        <v>1</v>
      </c>
      <c r="H19" s="6" t="b">
        <f t="shared" si="2"/>
        <v>0</v>
      </c>
      <c r="I19" s="6">
        <f t="shared" si="3"/>
        <v>0</v>
      </c>
    </row>
    <row r="20" spans="2:10" ht="17.25" thickBot="1" x14ac:dyDescent="0.35">
      <c r="B20" s="4"/>
      <c r="C20" s="4"/>
      <c r="D20" s="4" t="s">
        <v>474</v>
      </c>
      <c r="E20" s="12" t="s">
        <v>595</v>
      </c>
      <c r="F20" s="6" t="b">
        <f t="shared" si="0"/>
        <v>1</v>
      </c>
      <c r="G20" s="6">
        <f t="shared" si="1"/>
        <v>1</v>
      </c>
      <c r="H20" s="6" t="b">
        <f t="shared" si="2"/>
        <v>0</v>
      </c>
      <c r="I20" s="6">
        <f t="shared" si="3"/>
        <v>0</v>
      </c>
    </row>
    <row r="21" spans="2:10" ht="17.25" thickBot="1" x14ac:dyDescent="0.35">
      <c r="B21" s="5"/>
      <c r="C21" s="5"/>
      <c r="D21" s="5"/>
      <c r="E21" s="4" t="s">
        <v>540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6">IF(hascolor(E17:E21,$L$5)=TRUE, 1, 0)</f>
        <v>0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13" t="s">
        <v>596</v>
      </c>
      <c r="F22" s="6" t="b">
        <f t="shared" si="0"/>
        <v>1</v>
      </c>
      <c r="G22" s="6">
        <f t="shared" si="1"/>
        <v>1</v>
      </c>
      <c r="H22" s="6" t="b">
        <f t="shared" si="2"/>
        <v>0</v>
      </c>
      <c r="I22" s="6">
        <f t="shared" si="3"/>
        <v>0</v>
      </c>
    </row>
    <row r="23" spans="2:10" ht="17.25" thickBot="1" x14ac:dyDescent="0.35">
      <c r="B23" s="4"/>
      <c r="C23" s="4" t="s">
        <v>126</v>
      </c>
      <c r="D23" s="4" t="s">
        <v>437</v>
      </c>
      <c r="E23" s="12" t="s">
        <v>597</v>
      </c>
      <c r="F23" s="6" t="b">
        <f t="shared" si="0"/>
        <v>1</v>
      </c>
      <c r="G23" s="6">
        <f t="shared" si="1"/>
        <v>1</v>
      </c>
      <c r="H23" s="6" t="b">
        <f t="shared" si="2"/>
        <v>0</v>
      </c>
      <c r="I23" s="6">
        <f t="shared" si="3"/>
        <v>0</v>
      </c>
    </row>
    <row r="24" spans="2:10" ht="17.25" thickBot="1" x14ac:dyDescent="0.35">
      <c r="B24" s="4"/>
      <c r="C24" s="4"/>
      <c r="D24" s="4"/>
      <c r="E24" s="4" t="s">
        <v>598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465</v>
      </c>
      <c r="C25" s="4"/>
      <c r="D25" s="4"/>
      <c r="E25" s="4" t="s">
        <v>591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541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7">IF(hascolor(E22:E26,$L$5)=TRUE, 1, 0)</f>
        <v>0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13" t="s">
        <v>599</v>
      </c>
      <c r="F27" s="6" t="b">
        <f t="shared" si="0"/>
        <v>1</v>
      </c>
      <c r="G27" s="6">
        <f t="shared" si="1"/>
        <v>1</v>
      </c>
      <c r="H27" s="6" t="b">
        <f t="shared" si="2"/>
        <v>0</v>
      </c>
      <c r="I27" s="6">
        <f t="shared" si="3"/>
        <v>0</v>
      </c>
    </row>
    <row r="28" spans="2:10" ht="17.25" thickBot="1" x14ac:dyDescent="0.35">
      <c r="B28" s="4"/>
      <c r="C28" s="4" t="s">
        <v>128</v>
      </c>
      <c r="D28" s="4" t="s">
        <v>436</v>
      </c>
      <c r="E28" s="12" t="s">
        <v>600</v>
      </c>
      <c r="F28" s="6" t="b">
        <f t="shared" si="0"/>
        <v>1</v>
      </c>
      <c r="G28" s="6">
        <f t="shared" si="1"/>
        <v>1</v>
      </c>
      <c r="H28" s="6" t="b">
        <f t="shared" si="2"/>
        <v>0</v>
      </c>
      <c r="I28" s="6">
        <f t="shared" si="3"/>
        <v>0</v>
      </c>
    </row>
    <row r="29" spans="2:10" ht="17.25" thickBot="1" x14ac:dyDescent="0.35">
      <c r="B29" s="4"/>
      <c r="C29" s="4"/>
      <c r="D29" s="4"/>
      <c r="E29" s="4" t="s">
        <v>601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602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502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IF(hascolor(E27:E31,$L$5)=TRUE, 1, 0)</f>
        <v>0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13" t="s">
        <v>603</v>
      </c>
      <c r="F32" s="6" t="b">
        <f t="shared" si="0"/>
        <v>1</v>
      </c>
      <c r="G32" s="6">
        <f t="shared" si="1"/>
        <v>1</v>
      </c>
      <c r="H32" s="6" t="b">
        <f t="shared" si="2"/>
        <v>0</v>
      </c>
      <c r="I32" s="6">
        <f t="shared" si="3"/>
        <v>0</v>
      </c>
    </row>
    <row r="33" spans="2:10" ht="17.25" thickBot="1" x14ac:dyDescent="0.35">
      <c r="B33" s="4"/>
      <c r="C33" s="4"/>
      <c r="D33" s="4" t="s">
        <v>479</v>
      </c>
      <c r="E33" s="12" t="s">
        <v>604</v>
      </c>
      <c r="F33" s="6" t="b">
        <f t="shared" si="0"/>
        <v>1</v>
      </c>
      <c r="G33" s="6">
        <f t="shared" si="1"/>
        <v>1</v>
      </c>
      <c r="H33" s="6" t="b">
        <f t="shared" si="2"/>
        <v>0</v>
      </c>
      <c r="I33" s="6">
        <f t="shared" si="3"/>
        <v>0</v>
      </c>
    </row>
    <row r="34" spans="2:10" ht="17.25" thickBot="1" x14ac:dyDescent="0.35">
      <c r="B34" s="4"/>
      <c r="C34" s="4"/>
      <c r="D34" s="4" t="s">
        <v>480</v>
      </c>
      <c r="E34" s="4" t="s">
        <v>605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4" t="s">
        <v>606</v>
      </c>
      <c r="F35" s="6" t="b">
        <f t="shared" si="0"/>
        <v>0</v>
      </c>
      <c r="G35" s="6">
        <f t="shared" si="1"/>
        <v>0</v>
      </c>
      <c r="H35" s="6" t="b">
        <f t="shared" si="2"/>
        <v>0</v>
      </c>
      <c r="I35" s="6">
        <f t="shared" si="3"/>
        <v>0</v>
      </c>
    </row>
    <row r="36" spans="2:10" ht="17.25" thickBot="1" x14ac:dyDescent="0.35">
      <c r="B36" s="5"/>
      <c r="C36" s="5"/>
      <c r="D36" s="5"/>
      <c r="E36" s="12" t="s">
        <v>503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IF(hascolor(E32:E36,$L$5)=TRUE, 1, 0)</f>
        <v>0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13" t="s">
        <v>607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12" t="s">
        <v>608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481</v>
      </c>
      <c r="E39" s="4" t="s">
        <v>609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4" t="s">
        <v>604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4" t="s">
        <v>504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10">IF(hascolor(E37:E41,$L$5)=TRUE, 1, 0)</f>
        <v>0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13" t="s">
        <v>586</v>
      </c>
      <c r="F42" s="6" t="b">
        <f t="shared" si="0"/>
        <v>1</v>
      </c>
      <c r="G42" s="6">
        <f t="shared" si="1"/>
        <v>1</v>
      </c>
      <c r="H42" s="6" t="b">
        <f t="shared" si="2"/>
        <v>0</v>
      </c>
      <c r="I42" s="6">
        <f t="shared" si="3"/>
        <v>0</v>
      </c>
    </row>
    <row r="43" spans="2:10" ht="17.25" thickBot="1" x14ac:dyDescent="0.35">
      <c r="B43" s="4"/>
      <c r="C43" s="4" t="s">
        <v>463</v>
      </c>
      <c r="D43" s="4" t="s">
        <v>482</v>
      </c>
      <c r="E43" s="12" t="s">
        <v>610</v>
      </c>
      <c r="F43" s="6" t="b">
        <f t="shared" si="0"/>
        <v>1</v>
      </c>
      <c r="G43" s="6">
        <f t="shared" si="1"/>
        <v>1</v>
      </c>
      <c r="H43" s="6" t="b">
        <f t="shared" si="2"/>
        <v>0</v>
      </c>
      <c r="I43" s="6">
        <f t="shared" si="3"/>
        <v>0</v>
      </c>
    </row>
    <row r="44" spans="2:10" ht="17.25" thickBot="1" x14ac:dyDescent="0.35">
      <c r="B44" s="4"/>
      <c r="C44" s="4"/>
      <c r="D44" s="4"/>
      <c r="E44" s="4" t="s">
        <v>587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611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542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IF(hascolor(E42:E46,$L$5)=TRUE, 1, 0)</f>
        <v>0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13" t="s">
        <v>599</v>
      </c>
      <c r="F47" s="6" t="b">
        <f t="shared" si="0"/>
        <v>1</v>
      </c>
      <c r="G47" s="6">
        <f t="shared" si="1"/>
        <v>1</v>
      </c>
      <c r="H47" s="6" t="b">
        <f t="shared" si="2"/>
        <v>0</v>
      </c>
      <c r="I47" s="6">
        <f t="shared" si="3"/>
        <v>0</v>
      </c>
    </row>
    <row r="48" spans="2:10" ht="17.25" thickBot="1" x14ac:dyDescent="0.35">
      <c r="B48" s="4"/>
      <c r="C48" s="4" t="s">
        <v>134</v>
      </c>
      <c r="D48" s="4" t="s">
        <v>436</v>
      </c>
      <c r="E48" s="12" t="s">
        <v>600</v>
      </c>
      <c r="F48" s="6" t="b">
        <f t="shared" si="0"/>
        <v>1</v>
      </c>
      <c r="G48" s="6">
        <f t="shared" si="1"/>
        <v>1</v>
      </c>
      <c r="H48" s="6" t="b">
        <f t="shared" si="2"/>
        <v>0</v>
      </c>
      <c r="I48" s="6">
        <f t="shared" si="3"/>
        <v>0</v>
      </c>
    </row>
    <row r="49" spans="1:13" ht="17.25" thickBot="1" x14ac:dyDescent="0.35">
      <c r="B49" s="4"/>
      <c r="C49" s="4"/>
      <c r="D49" s="4"/>
      <c r="E49" s="4" t="s">
        <v>612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613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505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IF(hascolor(E47:E51,$L$5)=TRUE, 1, 0)</f>
        <v>0</v>
      </c>
      <c r="K51">
        <f>SUM(J2:J51)</f>
        <v>0</v>
      </c>
      <c r="M51">
        <f>SUM(I2:I51)</f>
        <v>0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13" t="s">
        <v>614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4" t="s">
        <v>615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616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617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543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3">IF(hascolor(E52:E56,$L$5)=TRUE, 1, 0)</f>
        <v>0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13" t="s">
        <v>618</v>
      </c>
      <c r="F57" s="6" t="b">
        <f t="shared" si="0"/>
        <v>1</v>
      </c>
      <c r="G57" s="6">
        <f t="shared" si="1"/>
        <v>1</v>
      </c>
      <c r="H57" s="6" t="b">
        <f t="shared" si="2"/>
        <v>0</v>
      </c>
      <c r="I57" s="6">
        <f t="shared" si="3"/>
        <v>0</v>
      </c>
    </row>
    <row r="58" spans="1:13" ht="17.25" thickBot="1" x14ac:dyDescent="0.35">
      <c r="B58" s="4"/>
      <c r="C58" s="4" t="s">
        <v>136</v>
      </c>
      <c r="D58" s="4" t="s">
        <v>307</v>
      </c>
      <c r="E58" s="12" t="s">
        <v>619</v>
      </c>
      <c r="F58" s="6" t="b">
        <f t="shared" si="0"/>
        <v>1</v>
      </c>
      <c r="G58" s="6">
        <f t="shared" si="1"/>
        <v>1</v>
      </c>
      <c r="H58" s="6" t="b">
        <f t="shared" si="2"/>
        <v>0</v>
      </c>
      <c r="I58" s="6">
        <f t="shared" si="3"/>
        <v>0</v>
      </c>
    </row>
    <row r="59" spans="1:13" ht="17.25" thickBot="1" x14ac:dyDescent="0.35">
      <c r="B59" s="4"/>
      <c r="C59" s="4"/>
      <c r="D59" s="4"/>
      <c r="E59" s="4" t="s">
        <v>620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621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544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IF(hascolor(E57:E61,$L$5)=TRUE, 1, 0)</f>
        <v>0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13" t="s">
        <v>622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12" t="s">
        <v>623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624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4" t="s">
        <v>625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545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IF(hascolor(E62:E66,$L$5)=TRUE, 1, 0)</f>
        <v>0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13" t="s">
        <v>626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hascolor(E67,$L$5)</f>
        <v>0</v>
      </c>
      <c r="I67" s="6">
        <f t="shared" ref="I67:I130" si="19">IF(H67, 1, 0)</f>
        <v>0</v>
      </c>
    </row>
    <row r="68" spans="2:10" ht="17.25" thickBot="1" x14ac:dyDescent="0.35">
      <c r="B68" s="4"/>
      <c r="C68" s="4" t="s">
        <v>142</v>
      </c>
      <c r="D68" s="4" t="s">
        <v>433</v>
      </c>
      <c r="E68" s="12" t="s">
        <v>627</v>
      </c>
      <c r="F68" s="6" t="b">
        <f t="shared" si="16"/>
        <v>1</v>
      </c>
      <c r="G68" s="6">
        <f t="shared" si="17"/>
        <v>1</v>
      </c>
      <c r="H68" s="6" t="b">
        <f t="shared" si="18"/>
        <v>0</v>
      </c>
      <c r="I68" s="6">
        <f t="shared" si="19"/>
        <v>0</v>
      </c>
    </row>
    <row r="69" spans="2:10" ht="17.25" thickBot="1" x14ac:dyDescent="0.35">
      <c r="B69" s="4"/>
      <c r="C69" s="4"/>
      <c r="D69" s="4" t="s">
        <v>471</v>
      </c>
      <c r="E69" s="4" t="s">
        <v>628</v>
      </c>
      <c r="F69" s="6" t="b">
        <f t="shared" si="16"/>
        <v>1</v>
      </c>
      <c r="G69" s="6">
        <f t="shared" si="17"/>
        <v>1</v>
      </c>
      <c r="H69" s="6" t="b">
        <f t="shared" si="18"/>
        <v>0</v>
      </c>
      <c r="I69" s="6">
        <f t="shared" si="19"/>
        <v>0</v>
      </c>
    </row>
    <row r="70" spans="2:10" ht="17.25" thickBot="1" x14ac:dyDescent="0.35">
      <c r="B70" s="4"/>
      <c r="C70" s="4"/>
      <c r="D70" s="4"/>
      <c r="E70" s="4" t="s">
        <v>629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4" t="s">
        <v>546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IF(hascolor(E67:E71,$L$5)=TRUE, 1, 0)</f>
        <v>0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13" t="s">
        <v>630</v>
      </c>
      <c r="F72" s="6" t="b">
        <f t="shared" si="16"/>
        <v>1</v>
      </c>
      <c r="G72" s="6">
        <f t="shared" si="17"/>
        <v>1</v>
      </c>
      <c r="H72" s="6" t="b">
        <f t="shared" si="18"/>
        <v>0</v>
      </c>
      <c r="I72" s="6">
        <f t="shared" si="19"/>
        <v>0</v>
      </c>
    </row>
    <row r="73" spans="2:10" ht="17.25" thickBot="1" x14ac:dyDescent="0.35">
      <c r="B73" s="4"/>
      <c r="C73" s="4" t="s">
        <v>144</v>
      </c>
      <c r="D73" s="4" t="s">
        <v>434</v>
      </c>
      <c r="E73" s="4" t="s">
        <v>631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145</v>
      </c>
      <c r="E74" s="12" t="s">
        <v>632</v>
      </c>
      <c r="F74" s="6" t="b">
        <f t="shared" si="16"/>
        <v>0</v>
      </c>
      <c r="G74" s="6">
        <f t="shared" si="17"/>
        <v>0</v>
      </c>
      <c r="H74" s="6" t="b">
        <f t="shared" si="18"/>
        <v>0</v>
      </c>
      <c r="I74" s="6">
        <f t="shared" si="19"/>
        <v>0</v>
      </c>
    </row>
    <row r="75" spans="2:10" ht="17.25" thickBot="1" x14ac:dyDescent="0.35">
      <c r="B75" s="4"/>
      <c r="C75" s="4"/>
      <c r="D75" s="4"/>
      <c r="E75" s="4" t="s">
        <v>633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4" t="s">
        <v>547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IF(hascolor(E72:E76,$L$5)=TRUE, 1, 0)</f>
        <v>0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13" t="s">
        <v>627</v>
      </c>
      <c r="F77" s="6" t="b">
        <f t="shared" si="16"/>
        <v>1</v>
      </c>
      <c r="G77" s="6">
        <f t="shared" si="17"/>
        <v>1</v>
      </c>
      <c r="H77" s="6" t="b">
        <f t="shared" si="18"/>
        <v>0</v>
      </c>
      <c r="I77" s="6">
        <f t="shared" si="19"/>
        <v>0</v>
      </c>
    </row>
    <row r="78" spans="2:10" ht="17.25" thickBot="1" x14ac:dyDescent="0.35">
      <c r="B78" s="4"/>
      <c r="C78" s="4" t="s">
        <v>142</v>
      </c>
      <c r="D78" s="4" t="s">
        <v>433</v>
      </c>
      <c r="E78" s="12" t="s">
        <v>626</v>
      </c>
      <c r="F78" s="6" t="b">
        <f t="shared" si="16"/>
        <v>1</v>
      </c>
      <c r="G78" s="6">
        <f t="shared" si="17"/>
        <v>1</v>
      </c>
      <c r="H78" s="6" t="b">
        <f t="shared" si="18"/>
        <v>0</v>
      </c>
      <c r="I78" s="6">
        <f t="shared" si="19"/>
        <v>0</v>
      </c>
    </row>
    <row r="79" spans="2:10" ht="17.25" thickBot="1" x14ac:dyDescent="0.35">
      <c r="B79" s="4"/>
      <c r="C79" s="4"/>
      <c r="D79" s="4" t="s">
        <v>471</v>
      </c>
      <c r="E79" s="4" t="s">
        <v>634</v>
      </c>
      <c r="F79" s="6" t="b">
        <f t="shared" si="16"/>
        <v>1</v>
      </c>
      <c r="G79" s="6">
        <f t="shared" si="17"/>
        <v>1</v>
      </c>
      <c r="H79" s="6" t="b">
        <f t="shared" si="18"/>
        <v>0</v>
      </c>
      <c r="I79" s="6">
        <f t="shared" si="19"/>
        <v>0</v>
      </c>
    </row>
    <row r="80" spans="2:10" ht="17.25" thickBot="1" x14ac:dyDescent="0.35">
      <c r="B80" s="4"/>
      <c r="C80" s="4"/>
      <c r="D80" s="4"/>
      <c r="E80" s="4" t="s">
        <v>635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9"/>
        <v>0</v>
      </c>
    </row>
    <row r="81" spans="2:10" ht="17.25" thickBot="1" x14ac:dyDescent="0.35">
      <c r="B81" s="5"/>
      <c r="C81" s="5"/>
      <c r="D81" s="5"/>
      <c r="E81" s="4" t="s">
        <v>546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IF(hascolor(E77:E81,$L$5)=TRUE, 1, 0)</f>
        <v>0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13" t="s">
        <v>618</v>
      </c>
      <c r="F82" s="6" t="b">
        <f t="shared" si="16"/>
        <v>1</v>
      </c>
      <c r="G82" s="6">
        <f t="shared" si="17"/>
        <v>1</v>
      </c>
      <c r="H82" s="6" t="b">
        <f t="shared" si="18"/>
        <v>0</v>
      </c>
      <c r="I82" s="6">
        <f t="shared" si="19"/>
        <v>0</v>
      </c>
    </row>
    <row r="83" spans="2:10" ht="17.25" thickBot="1" x14ac:dyDescent="0.35">
      <c r="B83" s="4"/>
      <c r="C83" s="4" t="s">
        <v>146</v>
      </c>
      <c r="D83" s="4" t="s">
        <v>431</v>
      </c>
      <c r="E83" s="4" t="s">
        <v>636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12" t="s">
        <v>637</v>
      </c>
      <c r="F84" s="6" t="b">
        <f t="shared" si="16"/>
        <v>1</v>
      </c>
      <c r="G84" s="6">
        <f t="shared" si="17"/>
        <v>1</v>
      </c>
      <c r="H84" s="6" t="b">
        <f t="shared" si="18"/>
        <v>0</v>
      </c>
      <c r="I84" s="6">
        <f t="shared" si="19"/>
        <v>0</v>
      </c>
    </row>
    <row r="85" spans="2:10" ht="17.25" thickBot="1" x14ac:dyDescent="0.35">
      <c r="B85" s="4"/>
      <c r="C85" s="4"/>
      <c r="D85" s="4"/>
      <c r="E85" s="4" t="s">
        <v>638</v>
      </c>
      <c r="F85" s="6" t="b">
        <f t="shared" si="16"/>
        <v>0</v>
      </c>
      <c r="G85" s="6">
        <f t="shared" si="17"/>
        <v>0</v>
      </c>
      <c r="H85" s="6" t="b">
        <f t="shared" si="18"/>
        <v>0</v>
      </c>
      <c r="I85" s="6">
        <f t="shared" si="19"/>
        <v>0</v>
      </c>
    </row>
    <row r="86" spans="2:10" ht="17.25" thickBot="1" x14ac:dyDescent="0.35">
      <c r="B86" s="5"/>
      <c r="C86" s="5"/>
      <c r="D86" s="5"/>
      <c r="E86" s="4" t="s">
        <v>548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IF(hascolor(E82:E86,$L$5)=TRUE, 1, 0)</f>
        <v>0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6" t="s">
        <v>639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12" t="s">
        <v>640</v>
      </c>
      <c r="F88" s="6" t="b">
        <f t="shared" si="16"/>
        <v>1</v>
      </c>
      <c r="G88" s="6">
        <f t="shared" si="17"/>
        <v>1</v>
      </c>
      <c r="H88" s="6" t="b">
        <f t="shared" si="18"/>
        <v>0</v>
      </c>
      <c r="I88" s="6">
        <f t="shared" si="19"/>
        <v>0</v>
      </c>
    </row>
    <row r="89" spans="2:10" ht="17.25" thickBot="1" x14ac:dyDescent="0.35">
      <c r="B89" s="4"/>
      <c r="E89" s="4" t="s">
        <v>641</v>
      </c>
      <c r="F89" s="6" t="b">
        <f t="shared" si="16"/>
        <v>0</v>
      </c>
      <c r="G89" s="6">
        <f t="shared" si="17"/>
        <v>0</v>
      </c>
      <c r="H89" s="6" t="b">
        <f t="shared" si="18"/>
        <v>0</v>
      </c>
      <c r="I89" s="6">
        <f t="shared" si="19"/>
        <v>0</v>
      </c>
    </row>
    <row r="90" spans="2:10" ht="17.25" thickBot="1" x14ac:dyDescent="0.35">
      <c r="B90" s="4"/>
      <c r="C90" s="4"/>
      <c r="D90" s="4"/>
      <c r="E90" s="4" t="s">
        <v>642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4" t="s">
        <v>549</v>
      </c>
      <c r="F91" s="6" t="b">
        <f t="shared" si="16"/>
        <v>0</v>
      </c>
      <c r="G91" s="6">
        <f t="shared" si="17"/>
        <v>0</v>
      </c>
      <c r="H91" s="6" t="b">
        <f t="shared" si="18"/>
        <v>0</v>
      </c>
      <c r="I91" s="6">
        <f t="shared" si="19"/>
        <v>0</v>
      </c>
      <c r="J91">
        <f t="shared" ref="J91" si="24">IF(hascolor(E87:E91,$L$5)=TRUE, 1, 0)</f>
        <v>0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13" t="s">
        <v>643</v>
      </c>
      <c r="F92" s="6" t="b">
        <f t="shared" si="16"/>
        <v>1</v>
      </c>
      <c r="G92" s="6">
        <f t="shared" si="17"/>
        <v>1</v>
      </c>
      <c r="H92" s="6" t="b">
        <f t="shared" si="18"/>
        <v>0</v>
      </c>
      <c r="I92" s="6">
        <f t="shared" si="19"/>
        <v>0</v>
      </c>
    </row>
    <row r="93" spans="2:10" ht="17.25" thickBot="1" x14ac:dyDescent="0.35">
      <c r="B93" s="4"/>
      <c r="C93" s="4" t="s">
        <v>150</v>
      </c>
      <c r="D93" s="4" t="s">
        <v>435</v>
      </c>
      <c r="E93" s="12" t="s">
        <v>644</v>
      </c>
      <c r="F93" s="6" t="b">
        <f t="shared" si="16"/>
        <v>1</v>
      </c>
      <c r="G93" s="6">
        <f t="shared" si="17"/>
        <v>1</v>
      </c>
      <c r="H93" s="6" t="b">
        <f t="shared" si="18"/>
        <v>0</v>
      </c>
      <c r="I93" s="6">
        <f t="shared" si="19"/>
        <v>0</v>
      </c>
    </row>
    <row r="94" spans="2:10" ht="17.25" thickBot="1" x14ac:dyDescent="0.35">
      <c r="B94" s="4"/>
      <c r="C94" s="4"/>
      <c r="D94" s="4"/>
      <c r="E94" s="4" t="s">
        <v>645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9"/>
        <v>0</v>
      </c>
    </row>
    <row r="95" spans="2:10" ht="17.25" thickBot="1" x14ac:dyDescent="0.35">
      <c r="B95" s="4"/>
      <c r="C95" s="4"/>
      <c r="D95" s="4"/>
      <c r="E95" s="4" t="s">
        <v>646</v>
      </c>
      <c r="F95" s="6" t="b">
        <f t="shared" si="16"/>
        <v>0</v>
      </c>
      <c r="G95" s="6">
        <f t="shared" si="17"/>
        <v>0</v>
      </c>
      <c r="H95" s="6" t="b">
        <f t="shared" si="18"/>
        <v>0</v>
      </c>
      <c r="I95" s="6">
        <f t="shared" si="19"/>
        <v>0</v>
      </c>
    </row>
    <row r="96" spans="2:10" ht="17.25" thickBot="1" x14ac:dyDescent="0.35">
      <c r="B96" s="5"/>
      <c r="C96" s="5"/>
      <c r="D96" s="5"/>
      <c r="E96" s="4" t="s">
        <v>506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IF(hascolor(E92:E96,$L$5)=TRUE, 1, 0)</f>
        <v>0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13" t="s">
        <v>636</v>
      </c>
      <c r="F97" s="6" t="b">
        <f t="shared" si="16"/>
        <v>1</v>
      </c>
      <c r="G97" s="6">
        <f t="shared" si="17"/>
        <v>1</v>
      </c>
      <c r="H97" s="6" t="b">
        <f t="shared" si="18"/>
        <v>0</v>
      </c>
      <c r="I97" s="6">
        <f t="shared" si="19"/>
        <v>0</v>
      </c>
    </row>
    <row r="98" spans="1:13" ht="17.25" thickBot="1" x14ac:dyDescent="0.35">
      <c r="B98" s="4"/>
      <c r="C98" s="4" t="s">
        <v>152</v>
      </c>
      <c r="D98" s="4" t="s">
        <v>431</v>
      </c>
      <c r="E98" s="12" t="s">
        <v>637</v>
      </c>
      <c r="F98" s="6" t="b">
        <f t="shared" si="16"/>
        <v>1</v>
      </c>
      <c r="G98" s="6">
        <f t="shared" si="17"/>
        <v>1</v>
      </c>
      <c r="H98" s="6" t="b">
        <f t="shared" si="18"/>
        <v>0</v>
      </c>
      <c r="I98" s="6">
        <f t="shared" si="19"/>
        <v>0</v>
      </c>
    </row>
    <row r="99" spans="1:13" ht="17.25" thickBot="1" x14ac:dyDescent="0.35">
      <c r="B99" s="4"/>
      <c r="C99" s="4"/>
      <c r="D99" s="4"/>
      <c r="E99" s="4" t="s">
        <v>638</v>
      </c>
      <c r="F99" s="6" t="b">
        <f t="shared" si="16"/>
        <v>0</v>
      </c>
      <c r="G99" s="6">
        <f t="shared" si="17"/>
        <v>0</v>
      </c>
      <c r="H99" s="6" t="b">
        <f t="shared" si="18"/>
        <v>0</v>
      </c>
      <c r="I99" s="6">
        <f t="shared" si="19"/>
        <v>0</v>
      </c>
    </row>
    <row r="100" spans="1:13" ht="17.25" thickBot="1" x14ac:dyDescent="0.35">
      <c r="B100" s="4"/>
      <c r="C100" s="4"/>
      <c r="D100" s="4"/>
      <c r="E100" s="4" t="s">
        <v>647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3" ht="17.25" thickBot="1" x14ac:dyDescent="0.35">
      <c r="B101" s="5"/>
      <c r="C101" s="5"/>
      <c r="D101" s="5"/>
      <c r="E101" s="4" t="s">
        <v>548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IF(hascolor(E97:E101,$L$5)=TRUE, 1, 0)</f>
        <v>0</v>
      </c>
      <c r="K101">
        <f>SUM(J52:J101)</f>
        <v>0</v>
      </c>
      <c r="M101">
        <f>SUM(I52:I101)</f>
        <v>0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13" t="s">
        <v>648</v>
      </c>
      <c r="F102" s="6" t="b">
        <f t="shared" si="16"/>
        <v>1</v>
      </c>
      <c r="G102" s="6">
        <f t="shared" si="17"/>
        <v>1</v>
      </c>
      <c r="H102" s="6" t="b">
        <f t="shared" si="18"/>
        <v>0</v>
      </c>
      <c r="I102" s="6">
        <f t="shared" si="19"/>
        <v>0</v>
      </c>
    </row>
    <row r="103" spans="1:13" ht="17.25" thickBot="1" x14ac:dyDescent="0.35">
      <c r="B103" s="4"/>
      <c r="C103" s="4" t="s">
        <v>158</v>
      </c>
      <c r="D103" s="4" t="s">
        <v>315</v>
      </c>
      <c r="E103" s="12" t="s">
        <v>649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9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650</v>
      </c>
      <c r="F104" s="6" t="b">
        <f t="shared" si="16"/>
        <v>1</v>
      </c>
      <c r="G104" s="6">
        <f t="shared" si="17"/>
        <v>1</v>
      </c>
      <c r="H104" s="6" t="b">
        <f t="shared" si="18"/>
        <v>0</v>
      </c>
      <c r="I104" s="6">
        <f t="shared" si="19"/>
        <v>0</v>
      </c>
    </row>
    <row r="105" spans="1:13" ht="17.25" thickBot="1" x14ac:dyDescent="0.35">
      <c r="B105" s="4"/>
      <c r="C105" s="4"/>
      <c r="D105" s="4"/>
      <c r="E105" s="12" t="s">
        <v>651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3" ht="17.25" thickBot="1" x14ac:dyDescent="0.35">
      <c r="B106" s="5"/>
      <c r="C106" s="5"/>
      <c r="D106" s="5"/>
      <c r="E106" s="4" t="s">
        <v>510</v>
      </c>
      <c r="F106" s="6" t="b">
        <f t="shared" si="16"/>
        <v>0</v>
      </c>
      <c r="G106" s="6">
        <f t="shared" si="17"/>
        <v>0</v>
      </c>
      <c r="H106" s="6" t="b">
        <f t="shared" si="18"/>
        <v>0</v>
      </c>
      <c r="I106" s="6">
        <f t="shared" si="19"/>
        <v>0</v>
      </c>
      <c r="J106">
        <f t="shared" ref="J106" si="27">IF(hascolor(E102:E106,$L$5)=TRUE, 1, 0)</f>
        <v>0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13" t="s">
        <v>652</v>
      </c>
      <c r="F107" s="6" t="b">
        <f t="shared" si="16"/>
        <v>1</v>
      </c>
      <c r="G107" s="6">
        <f t="shared" si="17"/>
        <v>1</v>
      </c>
      <c r="H107" s="6" t="b">
        <f t="shared" si="18"/>
        <v>0</v>
      </c>
      <c r="I107" s="6">
        <f t="shared" si="19"/>
        <v>0</v>
      </c>
    </row>
    <row r="108" spans="1:13" ht="17.25" thickBot="1" x14ac:dyDescent="0.35">
      <c r="B108" s="4"/>
      <c r="C108" s="4" t="s">
        <v>161</v>
      </c>
      <c r="D108" s="4" t="s">
        <v>427</v>
      </c>
      <c r="E108" s="12" t="s">
        <v>653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9"/>
        <v>0</v>
      </c>
    </row>
    <row r="109" spans="1:13" ht="17.25" thickBot="1" x14ac:dyDescent="0.35">
      <c r="B109" s="4"/>
      <c r="C109" s="4"/>
      <c r="D109" s="4"/>
      <c r="E109" s="4" t="s">
        <v>654</v>
      </c>
      <c r="F109" s="6" t="b">
        <f t="shared" si="16"/>
        <v>0</v>
      </c>
      <c r="G109" s="6">
        <f t="shared" si="17"/>
        <v>0</v>
      </c>
      <c r="H109" s="6" t="b">
        <f t="shared" si="18"/>
        <v>0</v>
      </c>
      <c r="I109" s="6">
        <f t="shared" si="19"/>
        <v>0</v>
      </c>
    </row>
    <row r="110" spans="1:13" ht="17.25" thickBot="1" x14ac:dyDescent="0.35">
      <c r="B110" s="4"/>
      <c r="C110" s="4"/>
      <c r="D110" s="4"/>
      <c r="E110" s="4" t="s">
        <v>649</v>
      </c>
      <c r="F110" s="6" t="b">
        <f t="shared" si="16"/>
        <v>0</v>
      </c>
      <c r="G110" s="6">
        <f t="shared" si="17"/>
        <v>0</v>
      </c>
      <c r="H110" s="6" t="b">
        <f t="shared" si="18"/>
        <v>0</v>
      </c>
      <c r="I110" s="6">
        <f t="shared" si="19"/>
        <v>0</v>
      </c>
    </row>
    <row r="111" spans="1:13" ht="17.25" thickBot="1" x14ac:dyDescent="0.35">
      <c r="B111" s="5"/>
      <c r="C111" s="5"/>
      <c r="D111" s="5"/>
      <c r="E111" s="4" t="s">
        <v>550</v>
      </c>
      <c r="F111" s="6" t="b">
        <f t="shared" si="16"/>
        <v>0</v>
      </c>
      <c r="G111" s="6">
        <f t="shared" si="17"/>
        <v>0</v>
      </c>
      <c r="H111" s="6" t="b">
        <f t="shared" si="18"/>
        <v>0</v>
      </c>
      <c r="I111" s="6">
        <f t="shared" si="19"/>
        <v>0</v>
      </c>
      <c r="J111">
        <f t="shared" ref="J111" si="28">IF(hascolor(E107:E111,$L$5)=TRUE, 1, 0)</f>
        <v>0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13" t="s">
        <v>655</v>
      </c>
      <c r="F112" s="6" t="b">
        <f t="shared" si="16"/>
        <v>1</v>
      </c>
      <c r="G112" s="6">
        <f t="shared" si="17"/>
        <v>1</v>
      </c>
      <c r="H112" s="6" t="b">
        <f t="shared" si="18"/>
        <v>0</v>
      </c>
      <c r="I112" s="6">
        <f t="shared" si="19"/>
        <v>0</v>
      </c>
    </row>
    <row r="113" spans="2:10" ht="17.25" thickBot="1" x14ac:dyDescent="0.35">
      <c r="B113" s="4"/>
      <c r="C113" s="4" t="s">
        <v>163</v>
      </c>
      <c r="D113" s="4" t="s">
        <v>424</v>
      </c>
      <c r="E113" s="12" t="s">
        <v>656</v>
      </c>
      <c r="F113" s="6" t="b">
        <f t="shared" si="16"/>
        <v>1</v>
      </c>
      <c r="G113" s="6">
        <f t="shared" si="17"/>
        <v>1</v>
      </c>
      <c r="H113" s="6" t="b">
        <f t="shared" si="18"/>
        <v>0</v>
      </c>
      <c r="I113" s="6">
        <f t="shared" si="19"/>
        <v>0</v>
      </c>
    </row>
    <row r="114" spans="2:10" ht="17.25" thickBot="1" x14ac:dyDescent="0.35">
      <c r="B114" s="4"/>
      <c r="C114" s="4"/>
      <c r="D114" s="4"/>
      <c r="E114" s="4" t="s">
        <v>657</v>
      </c>
      <c r="F114" s="6" t="b">
        <f t="shared" si="16"/>
        <v>0</v>
      </c>
      <c r="G114" s="6">
        <f t="shared" si="17"/>
        <v>0</v>
      </c>
      <c r="H114" s="6" t="b">
        <f t="shared" si="18"/>
        <v>0</v>
      </c>
      <c r="I114" s="6">
        <f t="shared" si="19"/>
        <v>0</v>
      </c>
    </row>
    <row r="115" spans="2:10" ht="17.25" thickBot="1" x14ac:dyDescent="0.35">
      <c r="B115" s="4"/>
      <c r="C115" s="4"/>
      <c r="D115" s="4"/>
      <c r="E115" s="4" t="s">
        <v>658</v>
      </c>
      <c r="F115" s="6" t="b">
        <f t="shared" si="16"/>
        <v>0</v>
      </c>
      <c r="G115" s="6">
        <f t="shared" si="17"/>
        <v>0</v>
      </c>
      <c r="H115" s="6" t="b">
        <f t="shared" si="18"/>
        <v>0</v>
      </c>
      <c r="I115" s="6">
        <f t="shared" si="19"/>
        <v>0</v>
      </c>
    </row>
    <row r="116" spans="2:10" ht="17.25" thickBot="1" x14ac:dyDescent="0.35">
      <c r="B116" s="5"/>
      <c r="C116" s="5"/>
      <c r="D116" s="5"/>
      <c r="E116" s="4" t="s">
        <v>551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9"/>
        <v>0</v>
      </c>
      <c r="J116">
        <f t="shared" ref="J116" si="29">IF(hascolor(E112:E116,$L$5)=TRUE, 1, 0)</f>
        <v>0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13" t="s">
        <v>659</v>
      </c>
      <c r="F117" s="6" t="b">
        <f t="shared" si="16"/>
        <v>1</v>
      </c>
      <c r="G117" s="6">
        <f t="shared" si="17"/>
        <v>1</v>
      </c>
      <c r="H117" s="6" t="b">
        <f t="shared" si="18"/>
        <v>0</v>
      </c>
      <c r="I117" s="6">
        <f t="shared" si="19"/>
        <v>0</v>
      </c>
    </row>
    <row r="118" spans="2:10" ht="17.25" thickBot="1" x14ac:dyDescent="0.35">
      <c r="B118" s="4"/>
      <c r="C118" s="4" t="s">
        <v>165</v>
      </c>
      <c r="D118" s="4" t="s">
        <v>426</v>
      </c>
      <c r="E118" s="12" t="s">
        <v>660</v>
      </c>
      <c r="F118" s="6" t="b">
        <f t="shared" si="16"/>
        <v>1</v>
      </c>
      <c r="G118" s="6">
        <f t="shared" si="17"/>
        <v>1</v>
      </c>
      <c r="H118" s="6" t="b">
        <f t="shared" si="18"/>
        <v>0</v>
      </c>
      <c r="I118" s="6">
        <f t="shared" si="19"/>
        <v>0</v>
      </c>
    </row>
    <row r="119" spans="2:10" ht="17.25" thickBot="1" x14ac:dyDescent="0.35">
      <c r="B119" s="4"/>
      <c r="C119" s="4"/>
      <c r="D119" s="4"/>
      <c r="E119" s="4" t="s">
        <v>661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9"/>
        <v>0</v>
      </c>
    </row>
    <row r="120" spans="2:10" ht="17.25" thickBot="1" x14ac:dyDescent="0.35">
      <c r="B120" s="4"/>
      <c r="C120" s="4"/>
      <c r="D120" s="4"/>
      <c r="E120" s="4" t="s">
        <v>662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4" t="s">
        <v>553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IF(hascolor(E117:E121,$L$5)=TRUE, 1, 0)</f>
        <v>0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13" t="s">
        <v>663</v>
      </c>
      <c r="F122" s="6" t="b">
        <f t="shared" si="16"/>
        <v>1</v>
      </c>
      <c r="G122" s="6">
        <f t="shared" si="17"/>
        <v>1</v>
      </c>
      <c r="H122" s="6" t="b">
        <f t="shared" si="18"/>
        <v>0</v>
      </c>
      <c r="I122" s="6">
        <f t="shared" si="19"/>
        <v>0</v>
      </c>
    </row>
    <row r="123" spans="2:10" ht="17.25" thickBot="1" x14ac:dyDescent="0.35">
      <c r="B123" s="4"/>
      <c r="C123" s="4" t="s">
        <v>167</v>
      </c>
      <c r="D123" s="4" t="s">
        <v>429</v>
      </c>
      <c r="E123" s="12" t="s">
        <v>664</v>
      </c>
      <c r="F123" s="6" t="b">
        <f t="shared" si="16"/>
        <v>1</v>
      </c>
      <c r="G123" s="6">
        <f t="shared" si="17"/>
        <v>1</v>
      </c>
      <c r="H123" s="6" t="b">
        <f t="shared" si="18"/>
        <v>0</v>
      </c>
      <c r="I123" s="6">
        <f t="shared" si="19"/>
        <v>0</v>
      </c>
    </row>
    <row r="124" spans="2:10" ht="17.25" thickBot="1" x14ac:dyDescent="0.35">
      <c r="B124" s="4"/>
      <c r="C124" s="4"/>
      <c r="D124" s="4"/>
      <c r="E124" s="4" t="s">
        <v>665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9"/>
        <v>0</v>
      </c>
    </row>
    <row r="125" spans="2:10" ht="17.25" thickBot="1" x14ac:dyDescent="0.35">
      <c r="B125" s="4"/>
      <c r="C125" s="4"/>
      <c r="D125" s="4"/>
      <c r="E125" s="4" t="s">
        <v>666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4" t="s">
        <v>507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IF(hascolor(E122:E126,$L$5)=TRUE, 1, 0)</f>
        <v>0</v>
      </c>
    </row>
    <row r="127" spans="2:10" ht="17.25" thickBot="1" x14ac:dyDescent="0.35">
      <c r="B127" s="6" t="s">
        <v>102</v>
      </c>
      <c r="C127" s="6" t="s">
        <v>168</v>
      </c>
      <c r="D127" s="6" t="s">
        <v>483</v>
      </c>
      <c r="E127" s="13" t="s">
        <v>667</v>
      </c>
      <c r="F127" s="6" t="b">
        <f t="shared" si="16"/>
        <v>1</v>
      </c>
      <c r="G127" s="6">
        <f t="shared" si="17"/>
        <v>1</v>
      </c>
      <c r="H127" s="6" t="b">
        <f t="shared" si="18"/>
        <v>0</v>
      </c>
      <c r="I127" s="6">
        <f t="shared" si="19"/>
        <v>0</v>
      </c>
    </row>
    <row r="128" spans="2:10" ht="17.25" thickBot="1" x14ac:dyDescent="0.35">
      <c r="B128" s="4"/>
      <c r="C128" s="4" t="s">
        <v>169</v>
      </c>
      <c r="D128" s="4" t="s">
        <v>430</v>
      </c>
      <c r="E128" s="12" t="s">
        <v>668</v>
      </c>
      <c r="F128" s="6" t="b">
        <f t="shared" si="16"/>
        <v>1</v>
      </c>
      <c r="G128" s="6">
        <f t="shared" si="17"/>
        <v>1</v>
      </c>
      <c r="H128" s="6" t="b">
        <f t="shared" si="18"/>
        <v>0</v>
      </c>
      <c r="I128" s="6">
        <f t="shared" si="19"/>
        <v>0</v>
      </c>
    </row>
    <row r="129" spans="2:10" ht="17.25" thickBot="1" x14ac:dyDescent="0.35">
      <c r="B129" s="4"/>
      <c r="C129" s="4"/>
      <c r="D129" s="4"/>
      <c r="E129" s="4" t="s">
        <v>669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4" t="s">
        <v>670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si="19"/>
        <v>0</v>
      </c>
    </row>
    <row r="131" spans="2:10" ht="17.25" thickBot="1" x14ac:dyDescent="0.35">
      <c r="B131" s="5"/>
      <c r="C131" s="5"/>
      <c r="D131" s="5"/>
      <c r="E131" s="4" t="s">
        <v>508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hascolor(E131,$L$5)</f>
        <v>0</v>
      </c>
      <c r="I131" s="6">
        <f t="shared" ref="I131:I194" si="35">IF(H131, 1, 0)</f>
        <v>0</v>
      </c>
      <c r="J131">
        <f t="shared" ref="J131" si="36">IF(hascolor(E127:E131,$L$5)=TRUE, 1, 0)</f>
        <v>0</v>
      </c>
    </row>
    <row r="132" spans="2:10" ht="17.25" thickBot="1" x14ac:dyDescent="0.35">
      <c r="B132" s="6" t="s">
        <v>30</v>
      </c>
      <c r="C132" s="6" t="s">
        <v>170</v>
      </c>
      <c r="D132" s="6" t="s">
        <v>484</v>
      </c>
      <c r="E132" s="13" t="s">
        <v>669</v>
      </c>
      <c r="F132" s="6" t="b">
        <f t="shared" si="32"/>
        <v>1</v>
      </c>
      <c r="G132" s="6">
        <f t="shared" si="33"/>
        <v>1</v>
      </c>
      <c r="H132" s="6" t="b">
        <f t="shared" si="34"/>
        <v>0</v>
      </c>
      <c r="I132" s="6">
        <f t="shared" si="35"/>
        <v>0</v>
      </c>
    </row>
    <row r="133" spans="2:10" ht="17.25" thickBot="1" x14ac:dyDescent="0.35">
      <c r="B133" s="4"/>
      <c r="C133" s="4" t="s">
        <v>171</v>
      </c>
      <c r="D133" s="4" t="s">
        <v>425</v>
      </c>
      <c r="E133" s="12" t="s">
        <v>670</v>
      </c>
      <c r="F133" s="6" t="b">
        <f t="shared" si="32"/>
        <v>1</v>
      </c>
      <c r="G133" s="6">
        <f t="shared" si="33"/>
        <v>1</v>
      </c>
      <c r="H133" s="6" t="b">
        <f t="shared" si="34"/>
        <v>0</v>
      </c>
      <c r="I133" s="6">
        <f t="shared" si="35"/>
        <v>0</v>
      </c>
    </row>
    <row r="134" spans="2:10" ht="17.25" thickBot="1" x14ac:dyDescent="0.35">
      <c r="B134" s="4"/>
      <c r="C134" s="4"/>
      <c r="D134" s="4"/>
      <c r="E134" s="4" t="s">
        <v>667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668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4" t="s">
        <v>552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IF(hascolor(E132:E136,$L$5)=TRUE, 1, 0)</f>
        <v>0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13" t="s">
        <v>671</v>
      </c>
      <c r="F137" s="6" t="b">
        <f t="shared" si="32"/>
        <v>1</v>
      </c>
      <c r="G137" s="6">
        <f t="shared" si="33"/>
        <v>1</v>
      </c>
      <c r="H137" s="6" t="b">
        <f t="shared" si="34"/>
        <v>0</v>
      </c>
      <c r="I137" s="6">
        <f t="shared" si="35"/>
        <v>0</v>
      </c>
    </row>
    <row r="138" spans="2:10" ht="17.25" thickBot="1" x14ac:dyDescent="0.35">
      <c r="B138" s="4"/>
      <c r="C138" s="4" t="s">
        <v>173</v>
      </c>
      <c r="D138" s="4" t="s">
        <v>421</v>
      </c>
      <c r="E138" s="12" t="s">
        <v>672</v>
      </c>
      <c r="F138" s="6" t="b">
        <f t="shared" si="32"/>
        <v>1</v>
      </c>
      <c r="G138" s="6">
        <f t="shared" si="33"/>
        <v>1</v>
      </c>
      <c r="H138" s="6" t="b">
        <f t="shared" si="34"/>
        <v>0</v>
      </c>
      <c r="I138" s="6">
        <f t="shared" si="35"/>
        <v>0</v>
      </c>
    </row>
    <row r="139" spans="2:10" ht="17.25" thickBot="1" x14ac:dyDescent="0.35">
      <c r="B139" s="4"/>
      <c r="C139" s="4"/>
      <c r="D139" s="4"/>
      <c r="E139" s="4" t="s">
        <v>655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5"/>
        <v>0</v>
      </c>
    </row>
    <row r="140" spans="2:10" ht="17.25" thickBot="1" x14ac:dyDescent="0.35">
      <c r="B140" s="4"/>
      <c r="C140" s="4"/>
      <c r="D140" s="4"/>
      <c r="E140" s="4" t="s">
        <v>673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4" t="s">
        <v>509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IF(hascolor(E137:E141,$L$5)=TRUE, 1, 0)</f>
        <v>0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13" t="s">
        <v>674</v>
      </c>
      <c r="F142" s="6" t="b">
        <f t="shared" si="32"/>
        <v>1</v>
      </c>
      <c r="G142" s="6">
        <f t="shared" si="33"/>
        <v>1</v>
      </c>
      <c r="H142" s="6" t="b">
        <f t="shared" si="34"/>
        <v>0</v>
      </c>
      <c r="I142" s="6">
        <f t="shared" si="35"/>
        <v>0</v>
      </c>
    </row>
    <row r="143" spans="2:10" ht="17.25" thickBot="1" x14ac:dyDescent="0.35">
      <c r="B143" s="4"/>
      <c r="C143" s="4" t="s">
        <v>175</v>
      </c>
      <c r="D143" s="4" t="s">
        <v>422</v>
      </c>
      <c r="E143" s="12" t="s">
        <v>675</v>
      </c>
      <c r="F143" s="6" t="b">
        <f t="shared" si="32"/>
        <v>1</v>
      </c>
      <c r="G143" s="6">
        <f t="shared" si="33"/>
        <v>1</v>
      </c>
      <c r="H143" s="6" t="b">
        <f t="shared" si="34"/>
        <v>0</v>
      </c>
      <c r="I143" s="6">
        <f t="shared" si="35"/>
        <v>0</v>
      </c>
    </row>
    <row r="144" spans="2:10" ht="17.25" thickBot="1" x14ac:dyDescent="0.35">
      <c r="B144" s="4"/>
      <c r="C144" s="4" t="s">
        <v>176</v>
      </c>
      <c r="D144" s="4"/>
      <c r="E144" s="4" t="s">
        <v>649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5"/>
        <v>0</v>
      </c>
    </row>
    <row r="145" spans="1:13" ht="17.25" thickBot="1" x14ac:dyDescent="0.35">
      <c r="B145" s="4"/>
      <c r="C145" s="4" t="s">
        <v>177</v>
      </c>
      <c r="E145" s="4" t="s">
        <v>676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3" ht="17.25" thickBot="1" x14ac:dyDescent="0.35">
      <c r="B146" s="5"/>
      <c r="C146" s="5"/>
      <c r="D146" s="5"/>
      <c r="E146" s="4" t="s">
        <v>554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5"/>
        <v>0</v>
      </c>
      <c r="J146">
        <f t="shared" ref="J146" si="39">IF(hascolor(E142:E146,$L$5)=TRUE, 1, 0)</f>
        <v>0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13" t="s">
        <v>677</v>
      </c>
      <c r="F147" s="6" t="b">
        <f t="shared" si="32"/>
        <v>1</v>
      </c>
      <c r="G147" s="6">
        <f t="shared" si="33"/>
        <v>1</v>
      </c>
      <c r="H147" s="6" t="b">
        <f t="shared" si="34"/>
        <v>0</v>
      </c>
      <c r="I147" s="6">
        <f t="shared" si="35"/>
        <v>0</v>
      </c>
    </row>
    <row r="148" spans="1:13" ht="17.25" thickBot="1" x14ac:dyDescent="0.35">
      <c r="B148" s="4"/>
      <c r="C148" s="4" t="s">
        <v>179</v>
      </c>
      <c r="D148" s="4" t="s">
        <v>423</v>
      </c>
      <c r="E148" s="4" t="s">
        <v>678</v>
      </c>
      <c r="F148" s="6" t="b">
        <f t="shared" si="32"/>
        <v>1</v>
      </c>
      <c r="G148" s="6">
        <f t="shared" si="33"/>
        <v>1</v>
      </c>
      <c r="H148" s="6" t="b">
        <f t="shared" si="34"/>
        <v>0</v>
      </c>
      <c r="I148" s="6">
        <f t="shared" si="35"/>
        <v>0</v>
      </c>
    </row>
    <row r="149" spans="1:13" ht="17.25" thickBot="1" x14ac:dyDescent="0.35">
      <c r="B149" s="4"/>
      <c r="C149" s="4"/>
      <c r="D149" s="4"/>
      <c r="E149" s="4" t="s">
        <v>679</v>
      </c>
      <c r="F149" s="6" t="b">
        <f t="shared" si="32"/>
        <v>0</v>
      </c>
      <c r="G149" s="6">
        <f t="shared" si="33"/>
        <v>0</v>
      </c>
      <c r="H149" s="6" t="b">
        <f t="shared" si="34"/>
        <v>0</v>
      </c>
      <c r="I149" s="6">
        <f t="shared" si="35"/>
        <v>0</v>
      </c>
    </row>
    <row r="150" spans="1:13" ht="17.25" thickBot="1" x14ac:dyDescent="0.35">
      <c r="B150" s="4"/>
      <c r="C150" s="4"/>
      <c r="D150" s="4"/>
      <c r="E150" s="4" t="s">
        <v>680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5"/>
        <v>0</v>
      </c>
    </row>
    <row r="151" spans="1:13" ht="17.25" thickBot="1" x14ac:dyDescent="0.35">
      <c r="B151" s="5"/>
      <c r="C151" s="5"/>
      <c r="D151" s="5"/>
      <c r="E151" s="12" t="s">
        <v>511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IF(hascolor(E147:E151,$L$5)=TRUE, 1, 0)</f>
        <v>0</v>
      </c>
      <c r="K151">
        <f>SUM(J102:J151)</f>
        <v>0</v>
      </c>
      <c r="M151">
        <f>SUM(I102:I151)</f>
        <v>0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13" t="s">
        <v>681</v>
      </c>
      <c r="F152" s="6" t="b">
        <f t="shared" si="32"/>
        <v>1</v>
      </c>
      <c r="G152" s="6">
        <f t="shared" si="33"/>
        <v>1</v>
      </c>
      <c r="H152" s="6" t="b">
        <f t="shared" si="34"/>
        <v>0</v>
      </c>
      <c r="I152" s="6">
        <f t="shared" si="35"/>
        <v>0</v>
      </c>
    </row>
    <row r="153" spans="1:13" ht="17.25" thickBot="1" x14ac:dyDescent="0.35">
      <c r="B153" s="4"/>
      <c r="C153" s="4" t="s">
        <v>181</v>
      </c>
      <c r="D153" s="4" t="s">
        <v>420</v>
      </c>
      <c r="E153" s="12" t="s">
        <v>682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3" ht="17.25" thickBot="1" x14ac:dyDescent="0.35">
      <c r="B154" s="4"/>
      <c r="C154" s="4"/>
      <c r="D154" s="4"/>
      <c r="E154" s="4" t="s">
        <v>683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5"/>
        <v>0</v>
      </c>
    </row>
    <row r="155" spans="1:13" ht="17.25" thickBot="1" x14ac:dyDescent="0.35">
      <c r="B155" s="4"/>
      <c r="C155" s="4"/>
      <c r="D155" s="4"/>
      <c r="E155" s="4" t="s">
        <v>684</v>
      </c>
      <c r="F155" s="6" t="b">
        <f t="shared" si="32"/>
        <v>0</v>
      </c>
      <c r="G155" s="6">
        <f t="shared" si="33"/>
        <v>0</v>
      </c>
      <c r="H155" s="6" t="b">
        <f t="shared" si="34"/>
        <v>0</v>
      </c>
      <c r="I155" s="6">
        <f t="shared" si="35"/>
        <v>0</v>
      </c>
    </row>
    <row r="156" spans="1:13" ht="17.25" thickBot="1" x14ac:dyDescent="0.35">
      <c r="B156" s="5"/>
      <c r="C156" s="5"/>
      <c r="D156" s="5"/>
      <c r="E156" s="4" t="s">
        <v>513</v>
      </c>
      <c r="F156" s="6" t="b">
        <f t="shared" si="32"/>
        <v>0</v>
      </c>
      <c r="G156" s="6">
        <f t="shared" si="33"/>
        <v>0</v>
      </c>
      <c r="H156" s="6" t="b">
        <f t="shared" si="34"/>
        <v>0</v>
      </c>
      <c r="I156" s="6">
        <f t="shared" si="35"/>
        <v>0</v>
      </c>
      <c r="J156">
        <f t="shared" ref="J156" si="41">IF(hascolor(E152:E156,$L$5)=TRUE, 1, 0)</f>
        <v>0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13" t="s">
        <v>685</v>
      </c>
      <c r="F157" s="6" t="b">
        <f t="shared" si="32"/>
        <v>1</v>
      </c>
      <c r="G157" s="6">
        <f t="shared" si="33"/>
        <v>1</v>
      </c>
      <c r="H157" s="6" t="b">
        <f t="shared" si="34"/>
        <v>0</v>
      </c>
      <c r="I157" s="6">
        <f t="shared" si="35"/>
        <v>0</v>
      </c>
    </row>
    <row r="158" spans="1:13" ht="17.25" thickBot="1" x14ac:dyDescent="0.35">
      <c r="B158" s="4"/>
      <c r="C158" s="4" t="s">
        <v>183</v>
      </c>
      <c r="D158" s="4" t="s">
        <v>419</v>
      </c>
      <c r="E158" s="12" t="s">
        <v>686</v>
      </c>
      <c r="F158" s="6" t="b">
        <f t="shared" si="32"/>
        <v>1</v>
      </c>
      <c r="G158" s="6">
        <f t="shared" si="33"/>
        <v>1</v>
      </c>
      <c r="H158" s="6" t="b">
        <f t="shared" si="34"/>
        <v>0</v>
      </c>
      <c r="I158" s="6">
        <f t="shared" si="35"/>
        <v>0</v>
      </c>
    </row>
    <row r="159" spans="1:13" ht="17.25" thickBot="1" x14ac:dyDescent="0.35">
      <c r="B159" s="4"/>
      <c r="C159" s="4"/>
      <c r="D159" s="4"/>
      <c r="E159" s="4" t="s">
        <v>681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5"/>
        <v>0</v>
      </c>
    </row>
    <row r="160" spans="1:13" ht="17.25" thickBot="1" x14ac:dyDescent="0.35">
      <c r="B160" s="4"/>
      <c r="C160" s="4"/>
      <c r="D160" s="4"/>
      <c r="E160" s="4" t="s">
        <v>682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4" t="s">
        <v>514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IF(hascolor(E157:E161,$L$5)=TRUE, 1, 0)</f>
        <v>0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13" t="s">
        <v>687</v>
      </c>
      <c r="F162" s="6" t="b">
        <f t="shared" si="32"/>
        <v>1</v>
      </c>
      <c r="G162" s="6">
        <f t="shared" si="33"/>
        <v>1</v>
      </c>
      <c r="H162" s="6" t="b">
        <f t="shared" si="34"/>
        <v>0</v>
      </c>
      <c r="I162" s="6">
        <f t="shared" si="35"/>
        <v>0</v>
      </c>
    </row>
    <row r="163" spans="2:10" ht="17.25" thickBot="1" x14ac:dyDescent="0.35">
      <c r="B163" s="4"/>
      <c r="C163" s="4" t="s">
        <v>185</v>
      </c>
      <c r="D163" s="4" t="s">
        <v>418</v>
      </c>
      <c r="E163" s="12" t="s">
        <v>688</v>
      </c>
      <c r="F163" s="6" t="b">
        <f t="shared" si="32"/>
        <v>1</v>
      </c>
      <c r="G163" s="6">
        <f t="shared" si="33"/>
        <v>1</v>
      </c>
      <c r="H163" s="6" t="b">
        <f t="shared" si="34"/>
        <v>0</v>
      </c>
      <c r="I163" s="6">
        <f t="shared" si="35"/>
        <v>0</v>
      </c>
    </row>
    <row r="164" spans="2:10" ht="17.25" thickBot="1" x14ac:dyDescent="0.35">
      <c r="B164" s="4"/>
      <c r="C164" s="4"/>
      <c r="D164" s="4"/>
      <c r="E164" s="4" t="s">
        <v>689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690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4" t="s">
        <v>517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IF(hascolor(E162:E166,$L$5)=TRUE, 1, 0)</f>
        <v>0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13" t="s">
        <v>691</v>
      </c>
      <c r="F167" s="6" t="b">
        <f t="shared" si="32"/>
        <v>1</v>
      </c>
      <c r="G167" s="6">
        <f t="shared" si="33"/>
        <v>1</v>
      </c>
      <c r="H167" s="6" t="b">
        <f t="shared" si="34"/>
        <v>0</v>
      </c>
      <c r="I167" s="6">
        <f t="shared" si="35"/>
        <v>0</v>
      </c>
    </row>
    <row r="168" spans="2:10" ht="17.25" thickBot="1" x14ac:dyDescent="0.35">
      <c r="B168" s="4"/>
      <c r="C168" s="4" t="s">
        <v>187</v>
      </c>
      <c r="D168" s="4" t="s">
        <v>417</v>
      </c>
      <c r="E168" s="12" t="s">
        <v>692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5"/>
        <v>0</v>
      </c>
    </row>
    <row r="169" spans="2:10" ht="17.25" thickBot="1" x14ac:dyDescent="0.35">
      <c r="B169" s="4"/>
      <c r="C169" s="4"/>
      <c r="D169" s="4"/>
      <c r="E169" s="4" t="s">
        <v>693</v>
      </c>
      <c r="F169" s="6" t="b">
        <f t="shared" si="32"/>
        <v>0</v>
      </c>
      <c r="G169" s="6">
        <f t="shared" si="33"/>
        <v>0</v>
      </c>
      <c r="H169" s="6" t="b">
        <f t="shared" si="34"/>
        <v>0</v>
      </c>
      <c r="I169" s="6">
        <f t="shared" si="35"/>
        <v>0</v>
      </c>
    </row>
    <row r="170" spans="2:10" ht="17.25" thickBot="1" x14ac:dyDescent="0.35">
      <c r="B170" s="4"/>
      <c r="C170" s="4"/>
      <c r="D170" s="4"/>
      <c r="E170" s="4" t="s">
        <v>694</v>
      </c>
      <c r="F170" s="6" t="b">
        <f t="shared" si="32"/>
        <v>0</v>
      </c>
      <c r="G170" s="6">
        <f t="shared" si="33"/>
        <v>0</v>
      </c>
      <c r="H170" s="6" t="b">
        <f t="shared" si="34"/>
        <v>0</v>
      </c>
      <c r="I170" s="6">
        <f t="shared" si="35"/>
        <v>0</v>
      </c>
    </row>
    <row r="171" spans="2:10" ht="17.25" thickBot="1" x14ac:dyDescent="0.35">
      <c r="B171" s="5"/>
      <c r="C171" s="5"/>
      <c r="D171" s="5"/>
      <c r="E171" s="4" t="s">
        <v>515</v>
      </c>
      <c r="F171" s="6" t="b">
        <f t="shared" si="32"/>
        <v>0</v>
      </c>
      <c r="G171" s="6">
        <f t="shared" si="33"/>
        <v>0</v>
      </c>
      <c r="H171" s="6" t="b">
        <f t="shared" si="34"/>
        <v>0</v>
      </c>
      <c r="I171" s="6">
        <f t="shared" si="35"/>
        <v>0</v>
      </c>
      <c r="J171">
        <f t="shared" ref="J171" si="44">IF(hascolor(E167:E171,$L$5)=TRUE, 1, 0)</f>
        <v>0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13" t="s">
        <v>695</v>
      </c>
      <c r="F172" s="6" t="b">
        <f t="shared" si="32"/>
        <v>1</v>
      </c>
      <c r="G172" s="6">
        <f t="shared" si="33"/>
        <v>1</v>
      </c>
      <c r="H172" s="6" t="b">
        <f t="shared" si="34"/>
        <v>0</v>
      </c>
      <c r="I172" s="6">
        <f t="shared" si="35"/>
        <v>0</v>
      </c>
    </row>
    <row r="173" spans="2:10" ht="17.25" thickBot="1" x14ac:dyDescent="0.35">
      <c r="B173" s="4"/>
      <c r="C173" s="4" t="s">
        <v>189</v>
      </c>
      <c r="D173" s="4" t="s">
        <v>416</v>
      </c>
      <c r="E173" s="12" t="s">
        <v>696</v>
      </c>
      <c r="F173" s="6" t="b">
        <f t="shared" si="32"/>
        <v>1</v>
      </c>
      <c r="G173" s="6">
        <f t="shared" si="33"/>
        <v>1</v>
      </c>
      <c r="H173" s="6" t="b">
        <f t="shared" si="34"/>
        <v>0</v>
      </c>
      <c r="I173" s="6">
        <f t="shared" si="35"/>
        <v>0</v>
      </c>
    </row>
    <row r="174" spans="2:10" ht="17.25" thickBot="1" x14ac:dyDescent="0.35">
      <c r="B174" s="4"/>
      <c r="C174" s="4"/>
      <c r="D174" s="4"/>
      <c r="E174" s="4" t="s">
        <v>697</v>
      </c>
      <c r="F174" s="6" t="b">
        <f t="shared" si="32"/>
        <v>0</v>
      </c>
      <c r="G174" s="6">
        <f t="shared" si="33"/>
        <v>0</v>
      </c>
      <c r="H174" s="6" t="b">
        <f t="shared" si="34"/>
        <v>0</v>
      </c>
      <c r="I174" s="6">
        <f t="shared" si="35"/>
        <v>0</v>
      </c>
    </row>
    <row r="175" spans="2:10" ht="17.25" thickBot="1" x14ac:dyDescent="0.35">
      <c r="B175" s="4"/>
      <c r="C175" s="4"/>
      <c r="D175" s="4"/>
      <c r="E175" s="4" t="s">
        <v>690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5"/>
        <v>0</v>
      </c>
    </row>
    <row r="176" spans="2:10" ht="17.25" thickBot="1" x14ac:dyDescent="0.35">
      <c r="B176" s="5"/>
      <c r="C176" s="5"/>
      <c r="D176" s="5"/>
      <c r="E176" s="4" t="s">
        <v>516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IF(hascolor(E172:E176,$L$5)=TRUE, 1, 0)</f>
        <v>0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13" t="s">
        <v>697</v>
      </c>
      <c r="F177" s="6" t="b">
        <f t="shared" si="32"/>
        <v>1</v>
      </c>
      <c r="G177" s="6">
        <f t="shared" si="33"/>
        <v>1</v>
      </c>
      <c r="H177" s="6" t="b">
        <f t="shared" si="34"/>
        <v>0</v>
      </c>
      <c r="I177" s="6">
        <f t="shared" si="35"/>
        <v>0</v>
      </c>
    </row>
    <row r="178" spans="2:10" ht="17.25" thickBot="1" x14ac:dyDescent="0.35">
      <c r="B178" s="4"/>
      <c r="C178" s="4" t="s">
        <v>191</v>
      </c>
      <c r="D178" s="4" t="s">
        <v>415</v>
      </c>
      <c r="E178" s="12" t="s">
        <v>698</v>
      </c>
      <c r="F178" s="6" t="b">
        <f t="shared" si="32"/>
        <v>1</v>
      </c>
      <c r="G178" s="6">
        <f t="shared" si="33"/>
        <v>1</v>
      </c>
      <c r="H178" s="6" t="b">
        <f t="shared" si="34"/>
        <v>0</v>
      </c>
      <c r="I178" s="6">
        <f t="shared" si="35"/>
        <v>0</v>
      </c>
    </row>
    <row r="179" spans="2:10" ht="17.25" thickBot="1" x14ac:dyDescent="0.35">
      <c r="B179" s="4"/>
      <c r="C179" s="4"/>
      <c r="D179" s="4"/>
      <c r="E179" s="4" t="s">
        <v>690</v>
      </c>
      <c r="F179" s="6" t="b">
        <f t="shared" si="32"/>
        <v>0</v>
      </c>
      <c r="G179" s="6">
        <f t="shared" si="33"/>
        <v>0</v>
      </c>
      <c r="H179" s="6" t="b">
        <f t="shared" si="34"/>
        <v>0</v>
      </c>
      <c r="I179" s="6">
        <f t="shared" si="35"/>
        <v>0</v>
      </c>
    </row>
    <row r="180" spans="2:10" ht="17.25" thickBot="1" x14ac:dyDescent="0.35">
      <c r="B180" s="4"/>
      <c r="C180" s="4"/>
      <c r="D180" s="4"/>
      <c r="E180" s="4" t="s">
        <v>696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4" t="s">
        <v>555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IF(hascolor(E177:E181,$L$5)=TRUE, 1, 0)</f>
        <v>0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13" t="s">
        <v>699</v>
      </c>
      <c r="F182" s="6" t="b">
        <f t="shared" si="32"/>
        <v>1</v>
      </c>
      <c r="G182" s="6">
        <f t="shared" si="33"/>
        <v>1</v>
      </c>
      <c r="H182" s="6" t="b">
        <f t="shared" si="34"/>
        <v>0</v>
      </c>
      <c r="I182" s="6">
        <f t="shared" si="35"/>
        <v>0</v>
      </c>
    </row>
    <row r="183" spans="2:10" ht="17.25" thickBot="1" x14ac:dyDescent="0.35">
      <c r="B183" s="4"/>
      <c r="C183" s="4" t="s">
        <v>485</v>
      </c>
      <c r="D183" s="4" t="s">
        <v>414</v>
      </c>
      <c r="E183" s="12" t="s">
        <v>700</v>
      </c>
      <c r="F183" s="6" t="b">
        <f t="shared" si="32"/>
        <v>1</v>
      </c>
      <c r="G183" s="6">
        <f t="shared" si="33"/>
        <v>1</v>
      </c>
      <c r="H183" s="6" t="b">
        <f t="shared" si="34"/>
        <v>0</v>
      </c>
      <c r="I183" s="6">
        <f t="shared" si="35"/>
        <v>0</v>
      </c>
    </row>
    <row r="184" spans="2:10" ht="17.25" thickBot="1" x14ac:dyDescent="0.35">
      <c r="B184" s="4"/>
      <c r="C184" s="4"/>
      <c r="D184" s="4"/>
      <c r="E184" s="4" t="s">
        <v>701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690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4" t="s">
        <v>556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5"/>
        <v>0</v>
      </c>
      <c r="J186">
        <f t="shared" ref="J186" si="47">IF(hascolor(E182:E186,$L$5)=TRUE, 1, 0)</f>
        <v>0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13" t="s">
        <v>702</v>
      </c>
      <c r="F187" s="6" t="b">
        <f t="shared" si="32"/>
        <v>1</v>
      </c>
      <c r="G187" s="6">
        <f t="shared" si="33"/>
        <v>1</v>
      </c>
      <c r="H187" s="6" t="b">
        <f t="shared" si="34"/>
        <v>0</v>
      </c>
      <c r="I187" s="6">
        <f t="shared" si="35"/>
        <v>0</v>
      </c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703</v>
      </c>
      <c r="F188" s="6" t="b">
        <f t="shared" si="32"/>
        <v>1</v>
      </c>
      <c r="G188" s="6">
        <f t="shared" si="33"/>
        <v>1</v>
      </c>
      <c r="H188" s="6" t="b">
        <f t="shared" si="34"/>
        <v>0</v>
      </c>
      <c r="I188" s="6">
        <f t="shared" si="35"/>
        <v>0</v>
      </c>
    </row>
    <row r="189" spans="2:10" ht="17.25" thickBot="1" x14ac:dyDescent="0.35">
      <c r="B189" s="4"/>
      <c r="C189" s="4"/>
      <c r="D189" s="4"/>
      <c r="E189" s="4" t="s">
        <v>704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4" t="s">
        <v>705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5"/>
        <v>0</v>
      </c>
    </row>
    <row r="191" spans="2:10" ht="17.25" thickBot="1" x14ac:dyDescent="0.35">
      <c r="B191" s="5"/>
      <c r="C191" s="5"/>
      <c r="D191" s="5"/>
      <c r="E191" s="4" t="s">
        <v>557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IF(hascolor(E187:E191,$L$5)=TRUE, 1, 0)</f>
        <v>0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13" t="s">
        <v>706</v>
      </c>
      <c r="F192" s="6" t="b">
        <f t="shared" si="32"/>
        <v>1</v>
      </c>
      <c r="G192" s="6">
        <f t="shared" si="33"/>
        <v>1</v>
      </c>
      <c r="H192" s="6" t="b">
        <f t="shared" si="34"/>
        <v>0</v>
      </c>
      <c r="I192" s="6">
        <f t="shared" si="35"/>
        <v>0</v>
      </c>
    </row>
    <row r="193" spans="1:13" ht="17.25" thickBot="1" x14ac:dyDescent="0.35">
      <c r="B193" s="4"/>
      <c r="C193" s="4" t="s">
        <v>196</v>
      </c>
      <c r="D193" s="4" t="s">
        <v>486</v>
      </c>
      <c r="E193" s="12" t="s">
        <v>707</v>
      </c>
      <c r="F193" s="6" t="b">
        <f t="shared" si="32"/>
        <v>1</v>
      </c>
      <c r="G193" s="6">
        <f t="shared" si="33"/>
        <v>1</v>
      </c>
      <c r="H193" s="6" t="b">
        <f t="shared" si="34"/>
        <v>0</v>
      </c>
      <c r="I193" s="6">
        <f t="shared" si="35"/>
        <v>0</v>
      </c>
    </row>
    <row r="194" spans="1:13" ht="17.25" thickBot="1" x14ac:dyDescent="0.35">
      <c r="B194" s="4"/>
      <c r="C194" s="4" t="s">
        <v>197</v>
      </c>
      <c r="E194" s="4" t="s">
        <v>708</v>
      </c>
      <c r="F194" s="6" t="b">
        <f t="shared" si="32"/>
        <v>0</v>
      </c>
      <c r="G194" s="6">
        <f t="shared" si="33"/>
        <v>0</v>
      </c>
      <c r="H194" s="6" t="b">
        <f t="shared" si="34"/>
        <v>0</v>
      </c>
      <c r="I194" s="6">
        <f t="shared" si="35"/>
        <v>0</v>
      </c>
    </row>
    <row r="195" spans="1:13" ht="17.25" thickBot="1" x14ac:dyDescent="0.35">
      <c r="B195" s="4"/>
      <c r="C195" s="4"/>
      <c r="D195" s="4"/>
      <c r="E195" s="4" t="s">
        <v>709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hascolor(E195,$L$5)</f>
        <v>0</v>
      </c>
      <c r="I195" s="6">
        <f t="shared" ref="I195:I258" si="52">IF(H195, 1, 0)</f>
        <v>0</v>
      </c>
    </row>
    <row r="196" spans="1:13" ht="17.25" thickBot="1" x14ac:dyDescent="0.35">
      <c r="B196" s="5"/>
      <c r="C196" s="5"/>
      <c r="D196" s="5"/>
      <c r="E196" s="4" t="s">
        <v>518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IF(hascolor(E192:E196,$L$5)=TRUE, 1, 0)</f>
        <v>0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13" t="s">
        <v>710</v>
      </c>
      <c r="F197" s="6" t="b">
        <f t="shared" si="49"/>
        <v>1</v>
      </c>
      <c r="G197" s="6">
        <f t="shared" si="50"/>
        <v>1</v>
      </c>
      <c r="H197" s="6" t="b">
        <f t="shared" si="51"/>
        <v>0</v>
      </c>
      <c r="I197" s="6">
        <f t="shared" si="52"/>
        <v>0</v>
      </c>
    </row>
    <row r="198" spans="1:13" ht="17.25" thickBot="1" x14ac:dyDescent="0.35">
      <c r="B198" s="4"/>
      <c r="C198" s="4" t="s">
        <v>198</v>
      </c>
      <c r="D198" s="4" t="s">
        <v>487</v>
      </c>
      <c r="E198" s="4" t="s">
        <v>683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3" ht="17.25" thickBot="1" x14ac:dyDescent="0.35">
      <c r="B199" s="4"/>
      <c r="C199" s="4" t="s">
        <v>199</v>
      </c>
      <c r="D199" s="4"/>
      <c r="E199" s="4" t="s">
        <v>711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52"/>
        <v>0</v>
      </c>
    </row>
    <row r="200" spans="1:13" ht="17.25" thickBot="1" x14ac:dyDescent="0.35">
      <c r="B200" s="4"/>
      <c r="C200" s="4" t="s">
        <v>200</v>
      </c>
      <c r="E200" s="4" t="s">
        <v>712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52"/>
        <v>0</v>
      </c>
    </row>
    <row r="201" spans="1:13" ht="17.25" thickBot="1" x14ac:dyDescent="0.35">
      <c r="B201" s="5"/>
      <c r="C201" s="5"/>
      <c r="D201" s="5"/>
      <c r="E201" s="12" t="s">
        <v>512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52"/>
        <v>0</v>
      </c>
      <c r="J201">
        <f t="shared" ref="J201" si="54">IF(hascolor(E197:E201,$L$5)=TRUE, 1, 0)</f>
        <v>0</v>
      </c>
      <c r="K201">
        <f>SUM(J152:J201)</f>
        <v>0</v>
      </c>
      <c r="M201">
        <f>SUM(I152:I201)</f>
        <v>0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13" t="s">
        <v>713</v>
      </c>
      <c r="F202" s="6" t="b">
        <f t="shared" si="49"/>
        <v>1</v>
      </c>
      <c r="G202" s="6">
        <f t="shared" si="50"/>
        <v>1</v>
      </c>
      <c r="H202" s="6" t="b">
        <f t="shared" si="51"/>
        <v>0</v>
      </c>
      <c r="I202" s="6">
        <f t="shared" si="52"/>
        <v>0</v>
      </c>
    </row>
    <row r="203" spans="1:13" ht="17.25" thickBot="1" x14ac:dyDescent="0.35">
      <c r="B203" s="4"/>
      <c r="C203" s="4"/>
      <c r="D203" s="4"/>
      <c r="E203" s="4" t="s">
        <v>714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52"/>
        <v>0</v>
      </c>
    </row>
    <row r="204" spans="1:13" ht="17.25" thickBot="1" x14ac:dyDescent="0.35">
      <c r="B204" s="4"/>
      <c r="C204" s="4"/>
      <c r="D204" s="4"/>
      <c r="E204" s="4" t="s">
        <v>715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3" ht="17.25" thickBot="1" x14ac:dyDescent="0.35">
      <c r="B205" s="4"/>
      <c r="C205" s="4"/>
      <c r="D205" s="4"/>
      <c r="E205" s="4" t="s">
        <v>716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52"/>
        <v>0</v>
      </c>
    </row>
    <row r="206" spans="1:13" ht="17.25" thickBot="1" x14ac:dyDescent="0.35">
      <c r="B206" s="5"/>
      <c r="C206" s="5"/>
      <c r="D206" s="5"/>
      <c r="E206" s="4" t="s">
        <v>494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52"/>
        <v>0</v>
      </c>
      <c r="J206">
        <f t="shared" ref="J206" si="55">IF(hascolor(E202:E206,$L$5)=TRUE, 1, 0)</f>
        <v>0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13" t="s">
        <v>717</v>
      </c>
      <c r="F207" s="6" t="b">
        <f t="shared" si="49"/>
        <v>1</v>
      </c>
      <c r="G207" s="6">
        <f t="shared" si="50"/>
        <v>1</v>
      </c>
      <c r="H207" s="6" t="b">
        <f t="shared" si="51"/>
        <v>0</v>
      </c>
      <c r="I207" s="6">
        <f t="shared" si="52"/>
        <v>0</v>
      </c>
    </row>
    <row r="208" spans="1:13" ht="17.25" thickBot="1" x14ac:dyDescent="0.35">
      <c r="B208" s="4"/>
      <c r="C208" s="4"/>
      <c r="D208" s="4"/>
      <c r="E208" s="4" t="s">
        <v>718</v>
      </c>
      <c r="F208" s="6" t="b">
        <f t="shared" si="49"/>
        <v>0</v>
      </c>
      <c r="G208" s="6">
        <f t="shared" si="50"/>
        <v>0</v>
      </c>
      <c r="H208" s="6" t="b">
        <f t="shared" si="51"/>
        <v>0</v>
      </c>
      <c r="I208" s="6">
        <f t="shared" si="52"/>
        <v>0</v>
      </c>
    </row>
    <row r="209" spans="2:10" ht="17.25" thickBot="1" x14ac:dyDescent="0.35">
      <c r="B209" s="4"/>
      <c r="C209" s="4"/>
      <c r="D209" s="4"/>
      <c r="E209" s="4" t="s">
        <v>719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720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4" t="s">
        <v>558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IF(hascolor(E207:E211,$L$5)=TRUE, 1, 0)</f>
        <v>0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13" t="s">
        <v>721</v>
      </c>
      <c r="F212" s="6" t="b">
        <f t="shared" si="49"/>
        <v>1</v>
      </c>
      <c r="G212" s="6">
        <f t="shared" si="50"/>
        <v>1</v>
      </c>
      <c r="H212" s="6" t="b">
        <f t="shared" si="51"/>
        <v>0</v>
      </c>
      <c r="I212" s="6">
        <f t="shared" si="52"/>
        <v>0</v>
      </c>
    </row>
    <row r="213" spans="2:10" ht="17.25" thickBot="1" x14ac:dyDescent="0.35">
      <c r="B213" s="4"/>
      <c r="C213" s="4"/>
      <c r="D213" s="4"/>
      <c r="E213" s="4" t="s">
        <v>722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s="4" t="s">
        <v>723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4" t="s">
        <v>724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52"/>
        <v>0</v>
      </c>
    </row>
    <row r="216" spans="2:10" ht="17.25" thickBot="1" x14ac:dyDescent="0.35">
      <c r="B216" s="5"/>
      <c r="C216" s="5"/>
      <c r="D216" s="5"/>
      <c r="E216" s="4" t="s">
        <v>559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IF(hascolor(E212:E216,$L$5)=TRUE, 1, 0)</f>
        <v>0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13" t="s">
        <v>725</v>
      </c>
      <c r="F217" s="6" t="b">
        <f t="shared" si="49"/>
        <v>1</v>
      </c>
      <c r="G217" s="6">
        <f t="shared" si="50"/>
        <v>1</v>
      </c>
      <c r="H217" s="6" t="b">
        <f t="shared" si="51"/>
        <v>0</v>
      </c>
      <c r="I217" s="6">
        <f t="shared" si="52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4" t="s">
        <v>726</v>
      </c>
      <c r="F218" s="6" t="b">
        <f t="shared" si="49"/>
        <v>1</v>
      </c>
      <c r="G218" s="6">
        <f t="shared" si="50"/>
        <v>1</v>
      </c>
      <c r="H218" s="6" t="b">
        <f t="shared" si="51"/>
        <v>0</v>
      </c>
      <c r="I218" s="6">
        <f t="shared" si="52"/>
        <v>0</v>
      </c>
    </row>
    <row r="219" spans="2:10" ht="17.25" thickBot="1" x14ac:dyDescent="0.35">
      <c r="B219" s="4"/>
      <c r="C219" s="4"/>
      <c r="D219" s="4"/>
      <c r="E219" s="4" t="s">
        <v>713</v>
      </c>
      <c r="F219" s="6" t="b">
        <f t="shared" si="49"/>
        <v>0</v>
      </c>
      <c r="G219" s="6">
        <f t="shared" si="50"/>
        <v>0</v>
      </c>
      <c r="H219" s="6" t="b">
        <f t="shared" si="51"/>
        <v>0</v>
      </c>
      <c r="I219" s="6">
        <f t="shared" si="52"/>
        <v>0</v>
      </c>
    </row>
    <row r="220" spans="2:10" ht="17.25" thickBot="1" x14ac:dyDescent="0.35">
      <c r="B220" s="4"/>
      <c r="C220" s="4"/>
      <c r="D220" s="4"/>
      <c r="E220" s="4" t="s">
        <v>727</v>
      </c>
      <c r="F220" s="6" t="b">
        <f t="shared" si="49"/>
        <v>0</v>
      </c>
      <c r="G220" s="6">
        <f t="shared" si="50"/>
        <v>0</v>
      </c>
      <c r="H220" s="6" t="b">
        <f t="shared" si="51"/>
        <v>0</v>
      </c>
      <c r="I220" s="6">
        <f t="shared" si="52"/>
        <v>0</v>
      </c>
    </row>
    <row r="221" spans="2:10" ht="17.25" thickBot="1" x14ac:dyDescent="0.35">
      <c r="B221" s="5"/>
      <c r="C221" s="5"/>
      <c r="D221" s="5"/>
      <c r="E221" s="12" t="s">
        <v>560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IF(hascolor(E217:E221,$L$5)=TRUE, 1, 0)</f>
        <v>0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13" t="s">
        <v>728</v>
      </c>
      <c r="F222" s="6" t="b">
        <f t="shared" si="49"/>
        <v>1</v>
      </c>
      <c r="G222" s="6">
        <f t="shared" si="50"/>
        <v>1</v>
      </c>
      <c r="H222" s="6" t="b">
        <f t="shared" si="51"/>
        <v>0</v>
      </c>
      <c r="I222" s="6">
        <f t="shared" si="52"/>
        <v>0</v>
      </c>
    </row>
    <row r="223" spans="2:10" ht="17.25" thickBot="1" x14ac:dyDescent="0.35">
      <c r="B223" s="4"/>
      <c r="C223" s="4"/>
      <c r="D223" s="4"/>
      <c r="E223" s="4" t="s">
        <v>729</v>
      </c>
      <c r="F223" s="6" t="b">
        <f t="shared" si="49"/>
        <v>0</v>
      </c>
      <c r="G223" s="6">
        <f t="shared" si="50"/>
        <v>0</v>
      </c>
      <c r="H223" s="6" t="b">
        <f t="shared" si="51"/>
        <v>0</v>
      </c>
      <c r="I223" s="6">
        <f t="shared" si="52"/>
        <v>0</v>
      </c>
    </row>
    <row r="224" spans="2:10" ht="17.25" thickBot="1" x14ac:dyDescent="0.35">
      <c r="B224" s="4"/>
      <c r="C224" s="4"/>
      <c r="D224" s="4"/>
      <c r="E224" s="4" t="s">
        <v>730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731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4" t="s">
        <v>562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IF(hascolor(E222:E226,$L$5)=TRUE, 1, 0)</f>
        <v>0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13" t="s">
        <v>732</v>
      </c>
      <c r="F227" s="6" t="b">
        <f t="shared" si="49"/>
        <v>1</v>
      </c>
      <c r="G227" s="6">
        <f t="shared" si="50"/>
        <v>1</v>
      </c>
      <c r="H227" s="6" t="b">
        <f t="shared" si="51"/>
        <v>0</v>
      </c>
      <c r="I227" s="6">
        <f t="shared" si="52"/>
        <v>0</v>
      </c>
    </row>
    <row r="228" spans="2:10" ht="17.25" thickBot="1" x14ac:dyDescent="0.35">
      <c r="B228" s="4"/>
      <c r="C228" s="4"/>
      <c r="D228" s="4"/>
      <c r="E228" s="4" t="s">
        <v>733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52"/>
        <v>0</v>
      </c>
    </row>
    <row r="229" spans="2:10" ht="17.25" thickBot="1" x14ac:dyDescent="0.35">
      <c r="B229" s="4"/>
      <c r="C229" s="4"/>
      <c r="D229" s="4"/>
      <c r="E229" s="4" t="s">
        <v>731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734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4" t="s">
        <v>492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IF(hascolor(E227:E231,$L$5)=TRUE, 1, 0)</f>
        <v>0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13" t="s">
        <v>735</v>
      </c>
      <c r="F232" s="6" t="b">
        <f t="shared" si="49"/>
        <v>1</v>
      </c>
      <c r="G232" s="6">
        <f t="shared" si="50"/>
        <v>1</v>
      </c>
      <c r="H232" s="6" t="b">
        <f t="shared" si="51"/>
        <v>0</v>
      </c>
      <c r="I232" s="6">
        <f t="shared" si="52"/>
        <v>0</v>
      </c>
    </row>
    <row r="233" spans="2:10" ht="17.25" thickBot="1" x14ac:dyDescent="0.35">
      <c r="B233" s="4"/>
      <c r="C233" s="4"/>
      <c r="D233" s="4"/>
      <c r="E233" s="4" t="s">
        <v>736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s="4" t="s">
        <v>737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728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4" t="s">
        <v>561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IF(hascolor(E232:E236,$L$5)=TRUE, 1, 0)</f>
        <v>0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13" t="s">
        <v>738</v>
      </c>
      <c r="F237" s="6" t="b">
        <f t="shared" si="49"/>
        <v>1</v>
      </c>
      <c r="G237" s="6">
        <f t="shared" si="50"/>
        <v>1</v>
      </c>
      <c r="H237" s="6" t="b">
        <f t="shared" si="51"/>
        <v>0</v>
      </c>
      <c r="I237" s="6">
        <f t="shared" si="52"/>
        <v>0</v>
      </c>
    </row>
    <row r="238" spans="2:10" ht="17.25" thickBot="1" x14ac:dyDescent="0.35">
      <c r="B238" s="4"/>
      <c r="C238" s="4"/>
      <c r="D238" s="4"/>
      <c r="E238" s="4" t="s">
        <v>739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s="4" t="s">
        <v>726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4" t="s">
        <v>740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52"/>
        <v>0</v>
      </c>
    </row>
    <row r="241" spans="1:13" ht="17.25" thickBot="1" x14ac:dyDescent="0.35">
      <c r="B241" s="5"/>
      <c r="C241" s="5"/>
      <c r="D241" s="5"/>
      <c r="E241" s="4" t="s">
        <v>491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IF(hascolor(E237:E241,$L$5)=TRUE, 1, 0)</f>
        <v>0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13" t="s">
        <v>741</v>
      </c>
      <c r="F242" s="6" t="b">
        <f t="shared" si="49"/>
        <v>1</v>
      </c>
      <c r="G242" s="6">
        <f t="shared" si="50"/>
        <v>1</v>
      </c>
      <c r="H242" s="6" t="b">
        <f t="shared" si="51"/>
        <v>0</v>
      </c>
      <c r="I242" s="6">
        <f t="shared" si="52"/>
        <v>0</v>
      </c>
    </row>
    <row r="243" spans="1:13" ht="17.25" thickBot="1" x14ac:dyDescent="0.35">
      <c r="B243" s="4"/>
      <c r="C243" s="4"/>
      <c r="D243" s="4"/>
      <c r="E243" s="4" t="s">
        <v>742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3" ht="17.25" thickBot="1" x14ac:dyDescent="0.35">
      <c r="B244" s="4"/>
      <c r="C244" s="4"/>
      <c r="D244" s="4"/>
      <c r="E244" s="4" t="s">
        <v>737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52"/>
        <v>0</v>
      </c>
    </row>
    <row r="245" spans="1:13" ht="17.25" thickBot="1" x14ac:dyDescent="0.35">
      <c r="B245" s="4"/>
      <c r="C245" s="4"/>
      <c r="D245" s="4"/>
      <c r="E245" s="4" t="s">
        <v>728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3" ht="17.25" thickBot="1" x14ac:dyDescent="0.35">
      <c r="B246" s="5"/>
      <c r="C246" s="5"/>
      <c r="D246" s="5"/>
      <c r="E246" s="4" t="s">
        <v>493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IF(hascolor(E242:E246,$L$5)=TRUE, 1, 0)</f>
        <v>0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743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3" ht="17.25" thickBot="1" x14ac:dyDescent="0.35">
      <c r="B248" s="4"/>
      <c r="C248" s="4"/>
      <c r="D248" s="4"/>
      <c r="E248" s="4" t="s">
        <v>744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3" ht="17.25" thickBot="1" x14ac:dyDescent="0.35">
      <c r="B249" s="4"/>
      <c r="C249" s="4"/>
      <c r="D249" s="4"/>
      <c r="E249" s="4" t="s">
        <v>745</v>
      </c>
      <c r="F249" s="6" t="b">
        <f t="shared" si="49"/>
        <v>0</v>
      </c>
      <c r="G249" s="6">
        <f t="shared" si="50"/>
        <v>0</v>
      </c>
      <c r="H249" s="6" t="b">
        <f t="shared" si="51"/>
        <v>0</v>
      </c>
      <c r="I249" s="6">
        <f t="shared" si="52"/>
        <v>0</v>
      </c>
    </row>
    <row r="250" spans="1:13" ht="17.25" thickBot="1" x14ac:dyDescent="0.35">
      <c r="B250" s="4"/>
      <c r="C250" s="4"/>
      <c r="D250" s="4"/>
      <c r="E250" s="4" t="s">
        <v>746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3" ht="17.25" thickBot="1" x14ac:dyDescent="0.35">
      <c r="B251" s="5"/>
      <c r="C251" s="5"/>
      <c r="D251" s="5"/>
      <c r="E251" s="4" t="s">
        <v>495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IF(hascolor(E247:E251,$L$5)=TRUE, 1, 0)</f>
        <v>0</v>
      </c>
      <c r="K251">
        <f>SUM(J202:J251)</f>
        <v>0</v>
      </c>
      <c r="M251">
        <f>SUM(I202:I251)</f>
        <v>0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13" t="s">
        <v>747</v>
      </c>
      <c r="F252" s="6" t="b">
        <f t="shared" si="49"/>
        <v>1</v>
      </c>
      <c r="G252" s="6">
        <f t="shared" si="50"/>
        <v>1</v>
      </c>
      <c r="H252" s="6" t="b">
        <f t="shared" si="51"/>
        <v>0</v>
      </c>
      <c r="I252" s="6">
        <f t="shared" si="52"/>
        <v>0</v>
      </c>
    </row>
    <row r="253" spans="1:13" ht="17.25" thickBot="1" x14ac:dyDescent="0.35">
      <c r="B253" s="4"/>
      <c r="C253" s="4" t="s">
        <v>213</v>
      </c>
      <c r="D253" s="4" t="s">
        <v>341</v>
      </c>
      <c r="E253" s="4" t="s">
        <v>748</v>
      </c>
      <c r="F253" s="6" t="b">
        <f t="shared" si="49"/>
        <v>1</v>
      </c>
      <c r="G253" s="6">
        <f t="shared" si="50"/>
        <v>1</v>
      </c>
      <c r="H253" s="6" t="b">
        <f t="shared" si="51"/>
        <v>0</v>
      </c>
      <c r="I253" s="6">
        <f t="shared" si="52"/>
        <v>0</v>
      </c>
    </row>
    <row r="254" spans="1:13" ht="17.25" thickBot="1" x14ac:dyDescent="0.35">
      <c r="B254" s="4"/>
      <c r="C254" s="9"/>
      <c r="E254" s="4" t="s">
        <v>749</v>
      </c>
      <c r="F254" s="6" t="b">
        <f t="shared" si="49"/>
        <v>0</v>
      </c>
      <c r="G254" s="6">
        <f t="shared" si="50"/>
        <v>0</v>
      </c>
      <c r="H254" s="6" t="b">
        <f t="shared" si="51"/>
        <v>0</v>
      </c>
      <c r="I254" s="6">
        <f t="shared" si="52"/>
        <v>0</v>
      </c>
    </row>
    <row r="255" spans="1:13" ht="17.25" thickBot="1" x14ac:dyDescent="0.35">
      <c r="B255" s="4"/>
      <c r="C255" s="9"/>
      <c r="E255" s="4" t="s">
        <v>750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3" ht="17.25" thickBot="1" x14ac:dyDescent="0.35">
      <c r="B256" s="5"/>
      <c r="C256" s="5"/>
      <c r="D256" s="5"/>
      <c r="E256" s="12" t="s">
        <v>520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52"/>
        <v>0</v>
      </c>
      <c r="J256">
        <f t="shared" ref="J256" si="65">IF(hascolor(E252:E256,$L$5)=TRUE, 1, 0)</f>
        <v>0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13" t="s">
        <v>751</v>
      </c>
      <c r="F257" s="6" t="b">
        <f t="shared" si="49"/>
        <v>1</v>
      </c>
      <c r="G257" s="6">
        <f t="shared" si="50"/>
        <v>1</v>
      </c>
      <c r="H257" s="6" t="b">
        <f t="shared" si="51"/>
        <v>0</v>
      </c>
      <c r="I257" s="6">
        <f t="shared" si="52"/>
        <v>0</v>
      </c>
    </row>
    <row r="258" spans="2:10" ht="17.25" thickBot="1" x14ac:dyDescent="0.35">
      <c r="B258" s="4"/>
      <c r="C258" s="9" t="s">
        <v>467</v>
      </c>
      <c r="D258" s="9" t="s">
        <v>467</v>
      </c>
      <c r="E258" s="4" t="s">
        <v>752</v>
      </c>
      <c r="F258" s="6" t="b">
        <f t="shared" si="49"/>
        <v>1</v>
      </c>
      <c r="G258" s="6">
        <f t="shared" si="50"/>
        <v>1</v>
      </c>
      <c r="H258" s="6" t="b">
        <f t="shared" si="51"/>
        <v>0</v>
      </c>
      <c r="I258" s="6">
        <f t="shared" si="52"/>
        <v>0</v>
      </c>
    </row>
    <row r="259" spans="2:10" ht="17.25" thickBot="1" x14ac:dyDescent="0.35">
      <c r="B259" s="4"/>
      <c r="C259" s="9" t="s">
        <v>468</v>
      </c>
      <c r="D259" s="9" t="s">
        <v>468</v>
      </c>
      <c r="E259" s="12" t="s">
        <v>753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hascolor(E259,$L$5)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12" t="s">
        <v>754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9"/>
        <v>0</v>
      </c>
    </row>
    <row r="261" spans="2:10" ht="17.25" thickBot="1" x14ac:dyDescent="0.35">
      <c r="B261" s="5"/>
      <c r="C261" s="5"/>
      <c r="D261" s="5"/>
      <c r="E261" s="4" t="s">
        <v>523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IF(hascolor(E257:E261,$L$5)=TRUE, 1, 0)</f>
        <v>0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13" t="s">
        <v>755</v>
      </c>
      <c r="F262" s="6" t="b">
        <f t="shared" si="66"/>
        <v>1</v>
      </c>
      <c r="G262" s="6">
        <f t="shared" si="67"/>
        <v>1</v>
      </c>
      <c r="H262" s="6" t="b">
        <f t="shared" si="68"/>
        <v>0</v>
      </c>
      <c r="I262" s="6">
        <f t="shared" si="69"/>
        <v>0</v>
      </c>
    </row>
    <row r="263" spans="2:10" ht="17.25" thickBot="1" x14ac:dyDescent="0.35">
      <c r="B263" s="4"/>
      <c r="C263" s="4" t="s">
        <v>215</v>
      </c>
      <c r="D263" s="4" t="s">
        <v>470</v>
      </c>
      <c r="E263" s="12" t="s">
        <v>756</v>
      </c>
      <c r="F263" s="6" t="b">
        <f t="shared" si="66"/>
        <v>1</v>
      </c>
      <c r="G263" s="6">
        <f t="shared" si="67"/>
        <v>1</v>
      </c>
      <c r="H263" s="6" t="b">
        <f t="shared" si="68"/>
        <v>0</v>
      </c>
      <c r="I263" s="6">
        <f t="shared" si="69"/>
        <v>0</v>
      </c>
    </row>
    <row r="264" spans="2:10" ht="17.25" thickBot="1" x14ac:dyDescent="0.35">
      <c r="B264" s="4"/>
      <c r="C264" s="4" t="s">
        <v>490</v>
      </c>
      <c r="D264" s="4" t="s">
        <v>469</v>
      </c>
      <c r="E264" s="4" t="s">
        <v>757</v>
      </c>
      <c r="F264" s="6" t="b">
        <f t="shared" si="66"/>
        <v>1</v>
      </c>
      <c r="G264" s="6">
        <f t="shared" si="67"/>
        <v>1</v>
      </c>
      <c r="H264" s="6" t="b">
        <f t="shared" si="68"/>
        <v>0</v>
      </c>
      <c r="I264" s="6">
        <f t="shared" si="69"/>
        <v>0</v>
      </c>
    </row>
    <row r="265" spans="2:10" ht="17.25" thickBot="1" x14ac:dyDescent="0.35">
      <c r="B265" s="4"/>
      <c r="C265" s="4"/>
      <c r="D265" s="4"/>
      <c r="E265" s="4" t="s">
        <v>758</v>
      </c>
      <c r="F265" s="6" t="b">
        <f t="shared" si="66"/>
        <v>0</v>
      </c>
      <c r="G265" s="6">
        <f t="shared" si="67"/>
        <v>0</v>
      </c>
      <c r="H265" s="6" t="b">
        <f t="shared" si="68"/>
        <v>0</v>
      </c>
      <c r="I265" s="6">
        <f t="shared" si="69"/>
        <v>0</v>
      </c>
    </row>
    <row r="266" spans="2:10" ht="17.25" thickBot="1" x14ac:dyDescent="0.35">
      <c r="B266" s="5"/>
      <c r="C266" s="5"/>
      <c r="D266" s="5"/>
      <c r="E266" s="4" t="s">
        <v>519</v>
      </c>
      <c r="F266" s="6" t="b">
        <f t="shared" si="66"/>
        <v>0</v>
      </c>
      <c r="G266" s="6">
        <f t="shared" si="67"/>
        <v>0</v>
      </c>
      <c r="H266" s="6" t="b">
        <f t="shared" si="68"/>
        <v>0</v>
      </c>
      <c r="I266" s="6">
        <f t="shared" si="69"/>
        <v>0</v>
      </c>
      <c r="J266">
        <f t="shared" ref="J266" si="71">IF(hascolor(E262:E266,$L$5)=TRUE, 1, 0)</f>
        <v>0</v>
      </c>
    </row>
    <row r="267" spans="2:10" ht="17.25" thickBot="1" x14ac:dyDescent="0.35">
      <c r="B267" s="6" t="s">
        <v>51</v>
      </c>
      <c r="C267" s="6" t="s">
        <v>216</v>
      </c>
      <c r="D267" s="4" t="s">
        <v>469</v>
      </c>
      <c r="E267" s="13" t="s">
        <v>759</v>
      </c>
      <c r="F267" s="6" t="b">
        <f t="shared" si="66"/>
        <v>1</v>
      </c>
      <c r="G267" s="6">
        <f t="shared" si="67"/>
        <v>1</v>
      </c>
      <c r="H267" s="6" t="b">
        <f t="shared" si="68"/>
        <v>0</v>
      </c>
      <c r="I267" s="6">
        <f t="shared" si="69"/>
        <v>0</v>
      </c>
    </row>
    <row r="268" spans="2:10" ht="17.25" thickBot="1" x14ac:dyDescent="0.35">
      <c r="B268" s="4"/>
      <c r="C268" s="4" t="s">
        <v>217</v>
      </c>
      <c r="D268" s="4" t="s">
        <v>344</v>
      </c>
      <c r="E268" s="12" t="s">
        <v>760</v>
      </c>
      <c r="F268" s="6" t="b">
        <f t="shared" si="66"/>
        <v>1</v>
      </c>
      <c r="G268" s="6">
        <f t="shared" si="67"/>
        <v>1</v>
      </c>
      <c r="H268" s="6" t="b">
        <f t="shared" si="68"/>
        <v>0</v>
      </c>
      <c r="I268" s="6">
        <f t="shared" si="69"/>
        <v>0</v>
      </c>
    </row>
    <row r="269" spans="2:10" ht="17.25" thickBot="1" x14ac:dyDescent="0.35">
      <c r="B269" s="4"/>
      <c r="C269" s="4"/>
      <c r="E269" s="4" t="s">
        <v>761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4" t="s">
        <v>751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9"/>
        <v>0</v>
      </c>
    </row>
    <row r="271" spans="2:10" ht="17.25" thickBot="1" x14ac:dyDescent="0.35">
      <c r="B271" s="5"/>
      <c r="C271" s="5"/>
      <c r="D271" s="5"/>
      <c r="E271" s="4" t="s">
        <v>522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IF(hascolor(E267:E271,$L$5)=TRUE, 1, 0)</f>
        <v>0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6" t="s">
        <v>751</v>
      </c>
      <c r="F272" s="6" t="b">
        <f t="shared" si="66"/>
        <v>1</v>
      </c>
      <c r="G272" s="6">
        <f t="shared" si="67"/>
        <v>1</v>
      </c>
      <c r="H272" s="6" t="b">
        <f t="shared" si="68"/>
        <v>0</v>
      </c>
      <c r="I272" s="6">
        <f t="shared" si="69"/>
        <v>0</v>
      </c>
    </row>
    <row r="273" spans="2:10" ht="17.25" thickBot="1" x14ac:dyDescent="0.35">
      <c r="B273" s="4"/>
      <c r="C273" s="4" t="s">
        <v>219</v>
      </c>
      <c r="D273" s="4" t="s">
        <v>346</v>
      </c>
      <c r="E273" s="12" t="s">
        <v>762</v>
      </c>
      <c r="F273" s="6" t="b">
        <f t="shared" si="66"/>
        <v>1</v>
      </c>
      <c r="G273" s="6">
        <f t="shared" si="67"/>
        <v>1</v>
      </c>
      <c r="H273" s="6" t="b">
        <f t="shared" si="68"/>
        <v>0</v>
      </c>
      <c r="I273" s="6">
        <f t="shared" si="69"/>
        <v>0</v>
      </c>
    </row>
    <row r="274" spans="2:10" ht="17.25" thickBot="1" x14ac:dyDescent="0.35">
      <c r="B274" s="4"/>
      <c r="C274" s="4"/>
      <c r="D274" s="4"/>
      <c r="E274" s="4" t="s">
        <v>749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12" t="s">
        <v>763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9"/>
        <v>0</v>
      </c>
    </row>
    <row r="276" spans="2:10" ht="17.25" thickBot="1" x14ac:dyDescent="0.35">
      <c r="B276" s="5"/>
      <c r="C276" s="5"/>
      <c r="D276" s="5"/>
      <c r="E276" s="4" t="s">
        <v>521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IF(hascolor(E272:E276,$L$5)=TRUE, 1, 0)</f>
        <v>0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13" t="s">
        <v>764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9"/>
        <v>0</v>
      </c>
    </row>
    <row r="278" spans="2:10" ht="17.25" thickBot="1" x14ac:dyDescent="0.35">
      <c r="B278" s="4"/>
      <c r="C278" s="4"/>
      <c r="D278" s="4"/>
      <c r="E278" s="4" t="s">
        <v>751</v>
      </c>
      <c r="F278" s="6" t="b">
        <f t="shared" si="66"/>
        <v>0</v>
      </c>
      <c r="G278" s="6">
        <f t="shared" si="67"/>
        <v>0</v>
      </c>
      <c r="H278" s="6" t="b">
        <f t="shared" si="68"/>
        <v>0</v>
      </c>
      <c r="I278" s="6">
        <f t="shared" si="69"/>
        <v>0</v>
      </c>
    </row>
    <row r="279" spans="2:10" ht="17.25" thickBot="1" x14ac:dyDescent="0.35">
      <c r="B279" s="4"/>
      <c r="C279" s="4"/>
      <c r="D279" s="4"/>
      <c r="E279" s="4" t="s">
        <v>765</v>
      </c>
      <c r="F279" s="6" t="b">
        <f t="shared" si="66"/>
        <v>0</v>
      </c>
      <c r="G279" s="6">
        <f t="shared" si="67"/>
        <v>0</v>
      </c>
      <c r="H279" s="6" t="b">
        <f t="shared" si="68"/>
        <v>0</v>
      </c>
      <c r="I279" s="6">
        <f t="shared" si="69"/>
        <v>0</v>
      </c>
    </row>
    <row r="280" spans="2:10" ht="17.25" thickBot="1" x14ac:dyDescent="0.35">
      <c r="B280" s="4"/>
      <c r="C280" s="4"/>
      <c r="D280" s="4"/>
      <c r="E280" s="4" t="s">
        <v>766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4" t="s">
        <v>564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9"/>
        <v>0</v>
      </c>
      <c r="J281">
        <f t="shared" ref="J281" si="74">IF(hascolor(E277:E281,$L$5)=TRUE, 1, 0)</f>
        <v>0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13" t="s">
        <v>767</v>
      </c>
      <c r="F282" s="6" t="b">
        <f t="shared" si="66"/>
        <v>1</v>
      </c>
      <c r="G282" s="6">
        <f t="shared" si="67"/>
        <v>1</v>
      </c>
      <c r="H282" s="6" t="b">
        <f t="shared" si="68"/>
        <v>0</v>
      </c>
      <c r="I282" s="6">
        <f t="shared" si="69"/>
        <v>0</v>
      </c>
    </row>
    <row r="283" spans="2:10" ht="17.25" thickBot="1" x14ac:dyDescent="0.35">
      <c r="B283" s="4"/>
      <c r="C283" s="4" t="s">
        <v>222</v>
      </c>
      <c r="D283" s="4" t="s">
        <v>349</v>
      </c>
      <c r="E283" s="4" t="s">
        <v>768</v>
      </c>
      <c r="F283" s="6" t="b">
        <f t="shared" si="66"/>
        <v>1</v>
      </c>
      <c r="G283" s="6">
        <f t="shared" si="67"/>
        <v>1</v>
      </c>
      <c r="H283" s="6" t="b">
        <f t="shared" si="68"/>
        <v>0</v>
      </c>
      <c r="I283" s="6">
        <f t="shared" si="69"/>
        <v>0</v>
      </c>
    </row>
    <row r="284" spans="2:10" ht="17.25" thickBot="1" x14ac:dyDescent="0.35">
      <c r="B284" s="4"/>
      <c r="C284" s="4"/>
      <c r="D284" s="4"/>
      <c r="E284" s="4" t="s">
        <v>769</v>
      </c>
      <c r="F284" s="6" t="b">
        <f t="shared" si="66"/>
        <v>0</v>
      </c>
      <c r="G284" s="6">
        <f t="shared" si="67"/>
        <v>0</v>
      </c>
      <c r="H284" s="6" t="b">
        <f t="shared" si="68"/>
        <v>0</v>
      </c>
      <c r="I284" s="6">
        <f t="shared" si="69"/>
        <v>0</v>
      </c>
    </row>
    <row r="285" spans="2:10" ht="17.25" thickBot="1" x14ac:dyDescent="0.35">
      <c r="B285" s="4"/>
      <c r="C285" s="4"/>
      <c r="D285" s="4"/>
      <c r="E285" s="4" t="s">
        <v>764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4" t="s">
        <v>563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IF(hascolor(E282:E286,$L$5)=TRUE, 1, 0)</f>
        <v>0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13" t="s">
        <v>770</v>
      </c>
      <c r="F287" s="6" t="b">
        <f t="shared" si="66"/>
        <v>1</v>
      </c>
      <c r="G287" s="6">
        <f t="shared" si="67"/>
        <v>1</v>
      </c>
      <c r="H287" s="6" t="b">
        <f t="shared" si="68"/>
        <v>0</v>
      </c>
      <c r="I287" s="6">
        <f t="shared" si="69"/>
        <v>0</v>
      </c>
    </row>
    <row r="288" spans="2:10" ht="17.25" thickBot="1" x14ac:dyDescent="0.35">
      <c r="B288" s="4"/>
      <c r="C288" s="4"/>
      <c r="D288" s="4"/>
      <c r="E288" s="4" t="s">
        <v>771</v>
      </c>
      <c r="F288" s="6" t="b">
        <f t="shared" si="66"/>
        <v>0</v>
      </c>
      <c r="G288" s="6">
        <f t="shared" si="67"/>
        <v>0</v>
      </c>
      <c r="H288" s="6" t="b">
        <f t="shared" si="68"/>
        <v>0</v>
      </c>
      <c r="I288" s="6">
        <f t="shared" si="69"/>
        <v>0</v>
      </c>
    </row>
    <row r="289" spans="1:13" ht="17.25" thickBot="1" x14ac:dyDescent="0.35">
      <c r="B289" s="4"/>
      <c r="C289" s="4"/>
      <c r="D289" s="4"/>
      <c r="E289" s="4" t="s">
        <v>751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3" ht="17.25" thickBot="1" x14ac:dyDescent="0.35">
      <c r="B290" s="4"/>
      <c r="C290" s="4"/>
      <c r="D290" s="4"/>
      <c r="E290" s="4" t="s">
        <v>772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9"/>
        <v>0</v>
      </c>
    </row>
    <row r="291" spans="1:13" ht="17.25" thickBot="1" x14ac:dyDescent="0.35">
      <c r="B291" s="5"/>
      <c r="C291" s="5"/>
      <c r="D291" s="5"/>
      <c r="E291" s="4" t="s">
        <v>565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IF(hascolor(E287:E291,$L$5)=TRUE, 1, 0)</f>
        <v>0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13" t="s">
        <v>772</v>
      </c>
      <c r="F292" s="6" t="b">
        <f t="shared" si="66"/>
        <v>1</v>
      </c>
      <c r="G292" s="6">
        <f t="shared" si="67"/>
        <v>1</v>
      </c>
      <c r="H292" s="6" t="b">
        <f t="shared" si="68"/>
        <v>0</v>
      </c>
      <c r="I292" s="6">
        <f t="shared" si="69"/>
        <v>0</v>
      </c>
    </row>
    <row r="293" spans="1:13" ht="17.25" thickBot="1" x14ac:dyDescent="0.35">
      <c r="B293" s="4"/>
      <c r="C293" s="4" t="s">
        <v>225</v>
      </c>
      <c r="D293" s="4" t="s">
        <v>351</v>
      </c>
      <c r="E293" s="12" t="s">
        <v>773</v>
      </c>
      <c r="F293" s="6" t="b">
        <f t="shared" si="66"/>
        <v>1</v>
      </c>
      <c r="G293" s="6">
        <f t="shared" si="67"/>
        <v>1</v>
      </c>
      <c r="H293" s="6" t="b">
        <f t="shared" si="68"/>
        <v>0</v>
      </c>
      <c r="I293" s="6">
        <f t="shared" si="69"/>
        <v>0</v>
      </c>
    </row>
    <row r="294" spans="1:13" ht="17.25" thickBot="1" x14ac:dyDescent="0.35">
      <c r="B294" s="4"/>
      <c r="C294" s="4"/>
      <c r="D294" s="4"/>
      <c r="E294" s="4" t="s">
        <v>751</v>
      </c>
      <c r="F294" s="6" t="b">
        <f t="shared" si="66"/>
        <v>0</v>
      </c>
      <c r="G294" s="6">
        <f t="shared" si="67"/>
        <v>0</v>
      </c>
      <c r="H294" s="6" t="b">
        <f t="shared" si="68"/>
        <v>0</v>
      </c>
      <c r="I294" s="6">
        <f t="shared" si="69"/>
        <v>0</v>
      </c>
    </row>
    <row r="295" spans="1:13" ht="17.25" thickBot="1" x14ac:dyDescent="0.35">
      <c r="B295" s="4"/>
      <c r="C295" s="4"/>
      <c r="D295" s="4"/>
      <c r="E295" s="4" t="s">
        <v>774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3" ht="17.25" thickBot="1" x14ac:dyDescent="0.35">
      <c r="B296" s="5"/>
      <c r="C296" s="5"/>
      <c r="D296" s="5"/>
      <c r="E296" s="4" t="s">
        <v>566</v>
      </c>
      <c r="F296" s="6" t="b">
        <f t="shared" si="66"/>
        <v>0</v>
      </c>
      <c r="G296" s="6">
        <f t="shared" si="67"/>
        <v>0</v>
      </c>
      <c r="H296" s="6" t="b">
        <f t="shared" si="68"/>
        <v>0</v>
      </c>
      <c r="I296" s="6">
        <f t="shared" si="69"/>
        <v>0</v>
      </c>
      <c r="J296">
        <f t="shared" ref="J296" si="77">IF(hascolor(E292:E296,$L$5)=TRUE, 1, 0)</f>
        <v>0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13" t="s">
        <v>751</v>
      </c>
      <c r="F297" s="6" t="b">
        <f t="shared" si="66"/>
        <v>1</v>
      </c>
      <c r="G297" s="6">
        <f t="shared" si="67"/>
        <v>1</v>
      </c>
      <c r="H297" s="6" t="b">
        <f t="shared" si="68"/>
        <v>0</v>
      </c>
      <c r="I297" s="6">
        <f t="shared" si="69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4" t="s">
        <v>775</v>
      </c>
      <c r="F298" s="6" t="b">
        <f t="shared" si="66"/>
        <v>1</v>
      </c>
      <c r="G298" s="6">
        <f t="shared" si="67"/>
        <v>1</v>
      </c>
      <c r="H298" s="6" t="b">
        <f t="shared" si="68"/>
        <v>0</v>
      </c>
      <c r="I298" s="6">
        <f t="shared" si="69"/>
        <v>0</v>
      </c>
    </row>
    <row r="299" spans="1:13" ht="17.25" thickBot="1" x14ac:dyDescent="0.35">
      <c r="B299" s="4"/>
      <c r="C299" s="4"/>
      <c r="D299" s="4"/>
      <c r="E299" s="4" t="s">
        <v>765</v>
      </c>
      <c r="F299" s="6" t="b">
        <f t="shared" si="66"/>
        <v>0</v>
      </c>
      <c r="G299" s="6">
        <f t="shared" si="67"/>
        <v>0</v>
      </c>
      <c r="H299" s="6" t="b">
        <f t="shared" si="68"/>
        <v>0</v>
      </c>
      <c r="I299" s="6">
        <f t="shared" si="69"/>
        <v>0</v>
      </c>
    </row>
    <row r="300" spans="1:13" ht="17.25" thickBot="1" x14ac:dyDescent="0.35">
      <c r="B300" s="4"/>
      <c r="C300" s="4"/>
      <c r="D300" s="4"/>
      <c r="E300" s="4" t="s">
        <v>776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9"/>
        <v>0</v>
      </c>
    </row>
    <row r="301" spans="1:13" ht="17.25" thickBot="1" x14ac:dyDescent="0.35">
      <c r="B301" s="5"/>
      <c r="C301" s="5"/>
      <c r="D301" s="5"/>
      <c r="E301" s="4" t="s">
        <v>567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IF(hascolor(E297:E301,$L$5)=TRUE, 1, 0)</f>
        <v>0</v>
      </c>
      <c r="K301">
        <f>SUM(J252:J301)</f>
        <v>0</v>
      </c>
      <c r="M301">
        <f>SUM(I252:I301)</f>
        <v>0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13" t="s">
        <v>777</v>
      </c>
      <c r="F302" s="6" t="b">
        <f t="shared" si="66"/>
        <v>1</v>
      </c>
      <c r="G302" s="6">
        <f t="shared" si="67"/>
        <v>1</v>
      </c>
      <c r="H302" s="6" t="b">
        <f t="shared" si="68"/>
        <v>0</v>
      </c>
      <c r="I302" s="6">
        <f t="shared" si="69"/>
        <v>0</v>
      </c>
    </row>
    <row r="303" spans="1:13" ht="17.25" thickBot="1" x14ac:dyDescent="0.35">
      <c r="B303" s="4"/>
      <c r="C303" s="4" t="s">
        <v>228</v>
      </c>
      <c r="D303" s="4" t="s">
        <v>354</v>
      </c>
      <c r="E303" s="12" t="s">
        <v>778</v>
      </c>
      <c r="F303" s="6" t="b">
        <f t="shared" si="66"/>
        <v>1</v>
      </c>
      <c r="G303" s="6">
        <f t="shared" si="67"/>
        <v>1</v>
      </c>
      <c r="H303" s="6" t="b">
        <f t="shared" si="68"/>
        <v>0</v>
      </c>
      <c r="I303" s="6">
        <f t="shared" si="69"/>
        <v>0</v>
      </c>
    </row>
    <row r="304" spans="1:13" ht="17.25" thickBot="1" x14ac:dyDescent="0.35">
      <c r="B304" s="4"/>
      <c r="C304" s="4" t="s">
        <v>229</v>
      </c>
      <c r="D304" s="4" t="s">
        <v>356</v>
      </c>
      <c r="E304" s="4" t="s">
        <v>779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12" t="s">
        <v>780</v>
      </c>
      <c r="F305" s="6" t="b">
        <f t="shared" si="66"/>
        <v>0</v>
      </c>
      <c r="G305" s="6">
        <f t="shared" si="67"/>
        <v>0</v>
      </c>
      <c r="H305" s="6" t="b">
        <f t="shared" si="68"/>
        <v>0</v>
      </c>
      <c r="I305" s="6">
        <f t="shared" si="69"/>
        <v>0</v>
      </c>
    </row>
    <row r="306" spans="2:10" ht="17.25" thickBot="1" x14ac:dyDescent="0.35">
      <c r="B306" s="5"/>
      <c r="C306" s="5"/>
      <c r="D306" s="5"/>
      <c r="E306" s="4" t="s">
        <v>524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IF(hascolor(E302:E306,$L$5)=TRUE, 1, 0)</f>
        <v>0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13" t="s">
        <v>778</v>
      </c>
      <c r="F307" s="6" t="b">
        <f t="shared" si="66"/>
        <v>1</v>
      </c>
      <c r="G307" s="6">
        <f t="shared" si="67"/>
        <v>1</v>
      </c>
      <c r="H307" s="6" t="b">
        <f t="shared" si="68"/>
        <v>0</v>
      </c>
      <c r="I307" s="6">
        <f t="shared" si="69"/>
        <v>0</v>
      </c>
    </row>
    <row r="308" spans="2:10" ht="17.25" thickBot="1" x14ac:dyDescent="0.35">
      <c r="B308" s="4"/>
      <c r="C308" s="4" t="s">
        <v>231</v>
      </c>
      <c r="D308" s="4" t="s">
        <v>357</v>
      </c>
      <c r="E308" s="12" t="s">
        <v>779</v>
      </c>
      <c r="F308" s="6" t="b">
        <f t="shared" si="66"/>
        <v>1</v>
      </c>
      <c r="G308" s="6">
        <f t="shared" si="67"/>
        <v>1</v>
      </c>
      <c r="H308" s="6" t="b">
        <f t="shared" si="68"/>
        <v>0</v>
      </c>
      <c r="I308" s="6">
        <f t="shared" si="69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4" t="s">
        <v>781</v>
      </c>
      <c r="F309" s="6" t="b">
        <f t="shared" si="66"/>
        <v>1</v>
      </c>
      <c r="G309" s="6">
        <f t="shared" si="67"/>
        <v>1</v>
      </c>
      <c r="H309" s="6" t="b">
        <f t="shared" si="68"/>
        <v>0</v>
      </c>
      <c r="I309" s="6">
        <f t="shared" si="69"/>
        <v>0</v>
      </c>
    </row>
    <row r="310" spans="2:10" ht="17.25" thickBot="1" x14ac:dyDescent="0.35">
      <c r="B310" s="4"/>
      <c r="C310" s="4"/>
      <c r="D310" s="4"/>
      <c r="E310" s="4" t="s">
        <v>777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9"/>
        <v>0</v>
      </c>
    </row>
    <row r="311" spans="2:10" ht="17.25" thickBot="1" x14ac:dyDescent="0.35">
      <c r="B311" s="5"/>
      <c r="C311" s="5"/>
      <c r="D311" s="5"/>
      <c r="E311" s="4" t="s">
        <v>525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IF(hascolor(E307:E311,$L$5)=TRUE, 1, 0)</f>
        <v>0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13" t="s">
        <v>782</v>
      </c>
      <c r="F312" s="6" t="b">
        <f t="shared" si="66"/>
        <v>1</v>
      </c>
      <c r="G312" s="6">
        <f t="shared" si="67"/>
        <v>1</v>
      </c>
      <c r="H312" s="6" t="b">
        <f t="shared" si="68"/>
        <v>0</v>
      </c>
      <c r="I312" s="6">
        <f t="shared" si="69"/>
        <v>0</v>
      </c>
    </row>
    <row r="313" spans="2:10" ht="17.25" thickBot="1" x14ac:dyDescent="0.35">
      <c r="B313" s="4"/>
      <c r="C313" s="4" t="s">
        <v>234</v>
      </c>
      <c r="D313" s="4" t="s">
        <v>359</v>
      </c>
      <c r="E313" s="12" t="s">
        <v>783</v>
      </c>
      <c r="F313" s="6" t="b">
        <f t="shared" si="66"/>
        <v>1</v>
      </c>
      <c r="G313" s="6">
        <f t="shared" si="67"/>
        <v>1</v>
      </c>
      <c r="H313" s="6" t="b">
        <f t="shared" si="68"/>
        <v>0</v>
      </c>
      <c r="I313" s="6">
        <f t="shared" si="69"/>
        <v>0</v>
      </c>
    </row>
    <row r="314" spans="2:10" ht="17.25" thickBot="1" x14ac:dyDescent="0.35">
      <c r="B314" s="4"/>
      <c r="C314" s="4"/>
      <c r="D314" s="4"/>
      <c r="E314" s="4" t="s">
        <v>784</v>
      </c>
      <c r="F314" s="6" t="b">
        <f t="shared" si="66"/>
        <v>0</v>
      </c>
      <c r="G314" s="6">
        <f t="shared" si="67"/>
        <v>0</v>
      </c>
      <c r="H314" s="6" t="b">
        <f t="shared" si="68"/>
        <v>0</v>
      </c>
      <c r="I314" s="6">
        <f t="shared" si="69"/>
        <v>0</v>
      </c>
    </row>
    <row r="315" spans="2:10" ht="17.25" thickBot="1" x14ac:dyDescent="0.35">
      <c r="B315" s="4"/>
      <c r="C315" s="4"/>
      <c r="D315" s="4"/>
      <c r="E315" s="4" t="s">
        <v>785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4" t="s">
        <v>526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IF(hascolor(E312:E316,$L$5)=TRUE, 1, 0)</f>
        <v>0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13" t="s">
        <v>786</v>
      </c>
      <c r="F317" s="6" t="b">
        <f t="shared" si="66"/>
        <v>1</v>
      </c>
      <c r="G317" s="6">
        <f t="shared" si="67"/>
        <v>1</v>
      </c>
      <c r="H317" s="6" t="b">
        <f t="shared" si="68"/>
        <v>0</v>
      </c>
      <c r="I317" s="6">
        <f t="shared" si="69"/>
        <v>0</v>
      </c>
    </row>
    <row r="318" spans="2:10" ht="17.25" thickBot="1" x14ac:dyDescent="0.35">
      <c r="B318" s="4"/>
      <c r="C318" s="4" t="s">
        <v>236</v>
      </c>
      <c r="D318" s="4" t="s">
        <v>236</v>
      </c>
      <c r="E318" s="12" t="s">
        <v>787</v>
      </c>
      <c r="F318" s="6" t="b">
        <f t="shared" si="66"/>
        <v>1</v>
      </c>
      <c r="G318" s="6">
        <f t="shared" si="67"/>
        <v>1</v>
      </c>
      <c r="H318" s="6" t="b">
        <f t="shared" si="68"/>
        <v>0</v>
      </c>
      <c r="I318" s="6">
        <f t="shared" si="69"/>
        <v>0</v>
      </c>
    </row>
    <row r="319" spans="2:10" ht="17.25" thickBot="1" x14ac:dyDescent="0.35">
      <c r="B319" s="4"/>
      <c r="C319" s="4" t="s">
        <v>237</v>
      </c>
      <c r="D319" s="4" t="s">
        <v>237</v>
      </c>
      <c r="E319" s="12" t="s">
        <v>788</v>
      </c>
      <c r="F319" s="6" t="b">
        <f t="shared" si="66"/>
        <v>1</v>
      </c>
      <c r="G319" s="6">
        <f t="shared" si="67"/>
        <v>1</v>
      </c>
      <c r="H319" s="6" t="b">
        <f t="shared" si="68"/>
        <v>0</v>
      </c>
      <c r="I319" s="6">
        <f t="shared" si="69"/>
        <v>0</v>
      </c>
    </row>
    <row r="320" spans="2:10" ht="17.25" thickBot="1" x14ac:dyDescent="0.35">
      <c r="B320" s="4"/>
      <c r="C320" s="4"/>
      <c r="D320" s="4"/>
      <c r="E320" s="4" t="s">
        <v>789</v>
      </c>
      <c r="F320" s="6" t="b">
        <f t="shared" si="66"/>
        <v>0</v>
      </c>
      <c r="G320" s="6">
        <f t="shared" si="67"/>
        <v>0</v>
      </c>
      <c r="H320" s="6" t="b">
        <f t="shared" si="68"/>
        <v>0</v>
      </c>
      <c r="I320" s="6">
        <f t="shared" si="69"/>
        <v>0</v>
      </c>
    </row>
    <row r="321" spans="2:10" ht="17.25" thickBot="1" x14ac:dyDescent="0.35">
      <c r="B321" s="5"/>
      <c r="C321" s="5"/>
      <c r="D321" s="5"/>
      <c r="E321" s="4" t="s">
        <v>568</v>
      </c>
      <c r="F321" s="6" t="b">
        <f t="shared" si="66"/>
        <v>0</v>
      </c>
      <c r="G321" s="6">
        <f t="shared" si="67"/>
        <v>0</v>
      </c>
      <c r="H321" s="6" t="b">
        <f t="shared" si="68"/>
        <v>0</v>
      </c>
      <c r="I321" s="6">
        <f t="shared" si="69"/>
        <v>0</v>
      </c>
      <c r="J321">
        <f t="shared" ref="J321" si="82">IF(hascolor(E317:E321,$L$5)=TRUE, 1, 0)</f>
        <v>0</v>
      </c>
    </row>
    <row r="322" spans="2:10" ht="17.25" thickBot="1" x14ac:dyDescent="0.35">
      <c r="B322" s="6" t="s">
        <v>62</v>
      </c>
      <c r="C322" s="6" t="s">
        <v>238</v>
      </c>
      <c r="D322" s="6" t="s">
        <v>488</v>
      </c>
      <c r="E322" s="13" t="s">
        <v>790</v>
      </c>
      <c r="F322" s="6" t="b">
        <f t="shared" si="66"/>
        <v>1</v>
      </c>
      <c r="G322" s="6">
        <f t="shared" si="67"/>
        <v>1</v>
      </c>
      <c r="H322" s="6" t="b">
        <f t="shared" si="68"/>
        <v>0</v>
      </c>
      <c r="I322" s="6">
        <f t="shared" si="69"/>
        <v>0</v>
      </c>
    </row>
    <row r="323" spans="2:10" ht="17.25" thickBot="1" x14ac:dyDescent="0.35">
      <c r="B323" s="4"/>
      <c r="C323" s="4" t="s">
        <v>239</v>
      </c>
      <c r="D323" s="4" t="s">
        <v>361</v>
      </c>
      <c r="E323" s="4" t="s">
        <v>791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hascolor(E323,$L$5)</f>
        <v>0</v>
      </c>
      <c r="I323" s="6">
        <f t="shared" ref="I323:I386" si="86">IF(H323, 1, 0)</f>
        <v>0</v>
      </c>
    </row>
    <row r="324" spans="2:10" ht="17.25" thickBot="1" x14ac:dyDescent="0.35">
      <c r="B324" s="4"/>
      <c r="C324" s="4"/>
      <c r="D324" s="4"/>
      <c r="E324" s="4" t="s">
        <v>792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4" t="s">
        <v>793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4" t="s">
        <v>527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IF(hascolor(E322:E326,$L$5)=TRUE, 1, 0)</f>
        <v>0</v>
      </c>
    </row>
    <row r="327" spans="2:10" ht="17.25" thickBot="1" x14ac:dyDescent="0.35">
      <c r="B327" s="6" t="s">
        <v>63</v>
      </c>
      <c r="C327" s="6" t="s">
        <v>240</v>
      </c>
      <c r="D327" s="6" t="s">
        <v>489</v>
      </c>
      <c r="E327" s="13" t="s">
        <v>794</v>
      </c>
      <c r="F327" s="6" t="b">
        <f t="shared" si="83"/>
        <v>1</v>
      </c>
      <c r="G327" s="6">
        <f t="shared" si="84"/>
        <v>1</v>
      </c>
      <c r="H327" s="6" t="b">
        <f t="shared" si="85"/>
        <v>0</v>
      </c>
      <c r="I327" s="6">
        <f t="shared" si="86"/>
        <v>0</v>
      </c>
    </row>
    <row r="328" spans="2:10" ht="17.25" thickBot="1" x14ac:dyDescent="0.35">
      <c r="B328" s="4"/>
      <c r="C328" s="4" t="s">
        <v>241</v>
      </c>
      <c r="D328" s="4" t="s">
        <v>362</v>
      </c>
      <c r="E328" s="12" t="s">
        <v>795</v>
      </c>
      <c r="F328" s="6" t="b">
        <f t="shared" si="83"/>
        <v>1</v>
      </c>
      <c r="G328" s="6">
        <f t="shared" si="84"/>
        <v>1</v>
      </c>
      <c r="H328" s="6" t="b">
        <f t="shared" si="85"/>
        <v>0</v>
      </c>
      <c r="I328" s="6">
        <f t="shared" si="86"/>
        <v>0</v>
      </c>
    </row>
    <row r="329" spans="2:10" ht="17.25" thickBot="1" x14ac:dyDescent="0.35">
      <c r="B329" s="4"/>
      <c r="C329" s="4" t="s">
        <v>242</v>
      </c>
      <c r="D329" s="4" t="s">
        <v>242</v>
      </c>
      <c r="E329" s="4" t="s">
        <v>780</v>
      </c>
      <c r="F329" s="6" t="b">
        <f t="shared" si="83"/>
        <v>1</v>
      </c>
      <c r="G329" s="6">
        <f t="shared" si="84"/>
        <v>1</v>
      </c>
      <c r="H329" s="6" t="b">
        <f t="shared" si="85"/>
        <v>0</v>
      </c>
      <c r="I329" s="6">
        <f t="shared" si="86"/>
        <v>0</v>
      </c>
    </row>
    <row r="330" spans="2:10" ht="17.25" thickBot="1" x14ac:dyDescent="0.35">
      <c r="B330" s="4"/>
      <c r="C330" s="4"/>
      <c r="D330" s="4"/>
      <c r="E330" s="12" t="s">
        <v>796</v>
      </c>
      <c r="F330" s="6" t="b">
        <f t="shared" si="83"/>
        <v>0</v>
      </c>
      <c r="G330" s="6">
        <f t="shared" si="84"/>
        <v>0</v>
      </c>
      <c r="H330" s="6" t="b">
        <f t="shared" si="85"/>
        <v>0</v>
      </c>
      <c r="I330" s="6">
        <f t="shared" si="86"/>
        <v>0</v>
      </c>
    </row>
    <row r="331" spans="2:10" ht="17.25" thickBot="1" x14ac:dyDescent="0.35">
      <c r="B331" s="5"/>
      <c r="C331" s="5"/>
      <c r="D331" s="5"/>
      <c r="E331" s="4" t="s">
        <v>524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IF(hascolor(E327:E331,$L$5)=TRUE, 1, 0)</f>
        <v>0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13" t="s">
        <v>786</v>
      </c>
      <c r="F332" s="6" t="b">
        <f t="shared" si="83"/>
        <v>1</v>
      </c>
      <c r="G332" s="6">
        <f t="shared" si="84"/>
        <v>1</v>
      </c>
      <c r="H332" s="6" t="b">
        <f t="shared" si="85"/>
        <v>0</v>
      </c>
      <c r="I332" s="6">
        <f t="shared" si="86"/>
        <v>0</v>
      </c>
    </row>
    <row r="333" spans="2:10" ht="17.25" thickBot="1" x14ac:dyDescent="0.35">
      <c r="B333" s="4"/>
      <c r="C333" s="4" t="s">
        <v>244</v>
      </c>
      <c r="D333" s="4" t="s">
        <v>244</v>
      </c>
      <c r="E333" s="12" t="s">
        <v>792</v>
      </c>
      <c r="F333" s="6" t="b">
        <f t="shared" si="83"/>
        <v>1</v>
      </c>
      <c r="G333" s="6">
        <f t="shared" si="84"/>
        <v>1</v>
      </c>
      <c r="H333" s="6" t="b">
        <f t="shared" si="85"/>
        <v>0</v>
      </c>
      <c r="I333" s="6">
        <f t="shared" si="86"/>
        <v>0</v>
      </c>
    </row>
    <row r="334" spans="2:10" ht="17.25" thickBot="1" x14ac:dyDescent="0.35">
      <c r="B334" s="4"/>
      <c r="C334" s="4" t="s">
        <v>245</v>
      </c>
      <c r="D334" s="4" t="s">
        <v>364</v>
      </c>
      <c r="E334" s="4" t="s">
        <v>787</v>
      </c>
      <c r="F334" s="6" t="b">
        <f t="shared" si="83"/>
        <v>1</v>
      </c>
      <c r="G334" s="6">
        <f t="shared" si="84"/>
        <v>1</v>
      </c>
      <c r="H334" s="6" t="b">
        <f t="shared" si="85"/>
        <v>0</v>
      </c>
      <c r="I334" s="6">
        <f t="shared" si="86"/>
        <v>0</v>
      </c>
    </row>
    <row r="335" spans="2:10" ht="17.25" thickBot="1" x14ac:dyDescent="0.35">
      <c r="B335" s="4"/>
      <c r="C335" s="4"/>
      <c r="D335" s="4" t="s">
        <v>360</v>
      </c>
      <c r="E335" s="4" t="s">
        <v>789</v>
      </c>
      <c r="F335" s="6" t="b">
        <f t="shared" si="83"/>
        <v>1</v>
      </c>
      <c r="G335" s="6">
        <f t="shared" si="84"/>
        <v>1</v>
      </c>
      <c r="H335" s="6" t="b">
        <f t="shared" si="85"/>
        <v>0</v>
      </c>
      <c r="I335" s="6">
        <f t="shared" si="86"/>
        <v>0</v>
      </c>
    </row>
    <row r="336" spans="2:10" ht="17.25" thickBot="1" x14ac:dyDescent="0.35">
      <c r="B336" s="5"/>
      <c r="C336" s="5"/>
      <c r="D336" s="5" t="s">
        <v>365</v>
      </c>
      <c r="E336" s="4" t="s">
        <v>569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6"/>
        <v>0</v>
      </c>
      <c r="J336">
        <f t="shared" ref="J336" si="89">IF(hascolor(E332:E336,$L$5)=TRUE, 1, 0)</f>
        <v>0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13" t="s">
        <v>797</v>
      </c>
      <c r="F337" s="6" t="b">
        <f t="shared" si="83"/>
        <v>1</v>
      </c>
      <c r="G337" s="6">
        <f t="shared" si="84"/>
        <v>1</v>
      </c>
      <c r="H337" s="6" t="b">
        <f t="shared" si="85"/>
        <v>0</v>
      </c>
      <c r="I337" s="6">
        <f t="shared" si="86"/>
        <v>0</v>
      </c>
    </row>
    <row r="338" spans="1:13" ht="17.25" thickBot="1" x14ac:dyDescent="0.35">
      <c r="B338" s="4"/>
      <c r="C338" s="4"/>
      <c r="D338" s="4" t="s">
        <v>365</v>
      </c>
      <c r="E338" s="4" t="s">
        <v>792</v>
      </c>
      <c r="F338" s="6" t="b">
        <f t="shared" si="83"/>
        <v>1</v>
      </c>
      <c r="G338" s="6">
        <f t="shared" si="84"/>
        <v>1</v>
      </c>
      <c r="H338" s="6" t="b">
        <f t="shared" si="85"/>
        <v>0</v>
      </c>
      <c r="I338" s="6">
        <f t="shared" si="86"/>
        <v>0</v>
      </c>
    </row>
    <row r="339" spans="1:13" ht="17.25" thickBot="1" x14ac:dyDescent="0.35">
      <c r="B339" s="4"/>
      <c r="C339" s="4"/>
      <c r="D339" s="4"/>
      <c r="E339" s="4" t="s">
        <v>787</v>
      </c>
      <c r="F339" s="6" t="b">
        <f t="shared" si="83"/>
        <v>0</v>
      </c>
      <c r="G339" s="6">
        <f t="shared" si="84"/>
        <v>0</v>
      </c>
      <c r="H339" s="6" t="b">
        <f t="shared" si="85"/>
        <v>0</v>
      </c>
      <c r="I339" s="6">
        <f t="shared" si="86"/>
        <v>0</v>
      </c>
    </row>
    <row r="340" spans="1:13" ht="17.25" thickBot="1" x14ac:dyDescent="0.35">
      <c r="B340" s="4"/>
      <c r="C340" s="4"/>
      <c r="D340" s="4"/>
      <c r="E340" s="4" t="s">
        <v>786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3" ht="17.25" thickBot="1" x14ac:dyDescent="0.35">
      <c r="B341" s="5"/>
      <c r="C341" s="5"/>
      <c r="D341" s="5"/>
      <c r="E341" s="4" t="s">
        <v>570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IF(hascolor(E337:E341,$L$5)=TRUE, 1, 0)</f>
        <v>0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13" t="s">
        <v>798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4" t="s">
        <v>799</v>
      </c>
      <c r="F343" s="6" t="b">
        <f t="shared" si="83"/>
        <v>1</v>
      </c>
      <c r="G343" s="6">
        <f t="shared" si="84"/>
        <v>1</v>
      </c>
      <c r="H343" s="6" t="b">
        <f t="shared" si="85"/>
        <v>0</v>
      </c>
      <c r="I343" s="6">
        <f t="shared" si="86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12" t="s">
        <v>800</v>
      </c>
      <c r="F344" s="6" t="b">
        <f t="shared" si="83"/>
        <v>1</v>
      </c>
      <c r="G344" s="6">
        <f t="shared" si="84"/>
        <v>1</v>
      </c>
      <c r="H344" s="6" t="b">
        <f t="shared" si="85"/>
        <v>0</v>
      </c>
      <c r="I344" s="6">
        <f t="shared" si="86"/>
        <v>0</v>
      </c>
    </row>
    <row r="345" spans="1:13" ht="17.25" thickBot="1" x14ac:dyDescent="0.35">
      <c r="B345" s="4"/>
      <c r="C345" s="4"/>
      <c r="D345" s="4"/>
      <c r="E345" s="4" t="s">
        <v>801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3" ht="17.25" thickBot="1" x14ac:dyDescent="0.35">
      <c r="B346" s="5"/>
      <c r="C346" s="5"/>
      <c r="D346" s="5"/>
      <c r="E346" s="4" t="s">
        <v>571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IF(hascolor(E342:E346,$L$5)=TRUE, 1, 0)</f>
        <v>0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13" t="s">
        <v>802</v>
      </c>
      <c r="F347" s="6" t="b">
        <f t="shared" si="83"/>
        <v>1</v>
      </c>
      <c r="G347" s="6">
        <f t="shared" si="84"/>
        <v>1</v>
      </c>
      <c r="H347" s="6" t="b">
        <f t="shared" si="85"/>
        <v>0</v>
      </c>
      <c r="I347" s="6">
        <f t="shared" si="86"/>
        <v>0</v>
      </c>
    </row>
    <row r="348" spans="1:13" ht="17.25" thickBot="1" x14ac:dyDescent="0.35">
      <c r="B348" s="4"/>
      <c r="C348" s="4" t="s">
        <v>251</v>
      </c>
      <c r="D348" s="4" t="s">
        <v>367</v>
      </c>
      <c r="E348" s="12" t="s">
        <v>803</v>
      </c>
      <c r="F348" s="6" t="b">
        <f t="shared" si="83"/>
        <v>1</v>
      </c>
      <c r="G348" s="6">
        <f t="shared" si="84"/>
        <v>1</v>
      </c>
      <c r="H348" s="6" t="b">
        <f t="shared" si="85"/>
        <v>0</v>
      </c>
      <c r="I348" s="6">
        <f t="shared" si="86"/>
        <v>0</v>
      </c>
    </row>
    <row r="349" spans="1:13" ht="17.25" thickBot="1" x14ac:dyDescent="0.35">
      <c r="B349" s="4"/>
      <c r="C349" s="4"/>
      <c r="D349" s="4"/>
      <c r="E349" s="4" t="s">
        <v>804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3" ht="17.25" thickBot="1" x14ac:dyDescent="0.35">
      <c r="B350" s="4"/>
      <c r="C350" s="4"/>
      <c r="D350" s="4"/>
      <c r="E350" s="4" t="s">
        <v>781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6"/>
        <v>0</v>
      </c>
    </row>
    <row r="351" spans="1:13" ht="17.25" thickBot="1" x14ac:dyDescent="0.35">
      <c r="B351" s="5"/>
      <c r="C351" s="5"/>
      <c r="D351" s="5"/>
      <c r="E351" s="4" t="s">
        <v>525</v>
      </c>
      <c r="F351" s="6" t="b">
        <f t="shared" si="83"/>
        <v>0</v>
      </c>
      <c r="G351" s="6">
        <f t="shared" si="84"/>
        <v>0</v>
      </c>
      <c r="H351" s="6" t="b">
        <f t="shared" si="85"/>
        <v>0</v>
      </c>
      <c r="I351" s="6">
        <f t="shared" si="86"/>
        <v>0</v>
      </c>
      <c r="J351">
        <f t="shared" ref="J351" si="92">IF(hascolor(E347:E351,$L$5)=TRUE, 1, 0)</f>
        <v>0</v>
      </c>
      <c r="K351">
        <f>SUM(J302:J351)</f>
        <v>0</v>
      </c>
      <c r="M351">
        <f>SUM(I302:I351)</f>
        <v>0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13" t="s">
        <v>805</v>
      </c>
      <c r="F352" s="6" t="b">
        <f t="shared" si="83"/>
        <v>1</v>
      </c>
      <c r="G352" s="6">
        <f t="shared" si="84"/>
        <v>1</v>
      </c>
      <c r="H352" s="6" t="b">
        <f t="shared" si="85"/>
        <v>0</v>
      </c>
      <c r="I352" s="6">
        <f t="shared" si="86"/>
        <v>0</v>
      </c>
    </row>
    <row r="353" spans="2:10" ht="17.25" thickBot="1" x14ac:dyDescent="0.35">
      <c r="B353" s="4"/>
      <c r="C353" s="4" t="s">
        <v>253</v>
      </c>
      <c r="D353" s="4" t="s">
        <v>398</v>
      </c>
      <c r="E353" s="12" t="s">
        <v>806</v>
      </c>
      <c r="F353" s="6" t="b">
        <f t="shared" si="83"/>
        <v>1</v>
      </c>
      <c r="G353" s="6">
        <f t="shared" si="84"/>
        <v>1</v>
      </c>
      <c r="H353" s="6" t="b">
        <f t="shared" si="85"/>
        <v>0</v>
      </c>
      <c r="I353" s="6">
        <f t="shared" si="86"/>
        <v>0</v>
      </c>
    </row>
    <row r="354" spans="2:10" ht="17.25" thickBot="1" x14ac:dyDescent="0.35">
      <c r="B354" s="4"/>
      <c r="C354" s="4" t="s">
        <v>254</v>
      </c>
      <c r="D354" s="4"/>
      <c r="E354" s="4" t="s">
        <v>807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808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4" t="s">
        <v>572</v>
      </c>
      <c r="F356" s="6" t="b">
        <f t="shared" si="83"/>
        <v>0</v>
      </c>
      <c r="G356" s="6">
        <f t="shared" si="84"/>
        <v>0</v>
      </c>
      <c r="H356" s="6" t="b">
        <f t="shared" si="85"/>
        <v>0</v>
      </c>
      <c r="I356" s="6">
        <f t="shared" si="86"/>
        <v>0</v>
      </c>
      <c r="J356">
        <f t="shared" ref="J356" si="93">IF(hascolor(E352:E356,$L$5)=TRUE, 1, 0)</f>
        <v>0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13" t="s">
        <v>805</v>
      </c>
      <c r="F357" s="6" t="b">
        <f t="shared" si="83"/>
        <v>1</v>
      </c>
      <c r="G357" s="6">
        <f t="shared" si="84"/>
        <v>1</v>
      </c>
      <c r="H357" s="6" t="b">
        <f t="shared" si="85"/>
        <v>0</v>
      </c>
      <c r="I357" s="6">
        <f t="shared" si="86"/>
        <v>0</v>
      </c>
    </row>
    <row r="358" spans="2:10" ht="17.25" thickBot="1" x14ac:dyDescent="0.35">
      <c r="B358" s="4"/>
      <c r="C358" s="4" t="s">
        <v>256</v>
      </c>
      <c r="D358" s="4" t="s">
        <v>397</v>
      </c>
      <c r="E358" s="12" t="s">
        <v>806</v>
      </c>
      <c r="F358" s="6" t="b">
        <f t="shared" si="83"/>
        <v>1</v>
      </c>
      <c r="G358" s="6">
        <f t="shared" si="84"/>
        <v>1</v>
      </c>
      <c r="H358" s="6" t="b">
        <f t="shared" si="85"/>
        <v>0</v>
      </c>
      <c r="I358" s="6">
        <f t="shared" si="86"/>
        <v>0</v>
      </c>
    </row>
    <row r="359" spans="2:10" ht="17.25" thickBot="1" x14ac:dyDescent="0.35">
      <c r="B359" s="4"/>
      <c r="C359" s="4" t="s">
        <v>257</v>
      </c>
      <c r="E359" s="4" t="s">
        <v>808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258</v>
      </c>
      <c r="D360" s="4"/>
      <c r="E360" s="4" t="s">
        <v>809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6"/>
        <v>0</v>
      </c>
    </row>
    <row r="361" spans="2:10" ht="17.25" thickBot="1" x14ac:dyDescent="0.35">
      <c r="B361" s="5"/>
      <c r="C361" s="5"/>
      <c r="D361" s="5"/>
      <c r="E361" s="4" t="s">
        <v>466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IF(hascolor(E357:E361,$L$5)=TRUE, 1, 0)</f>
        <v>0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13" t="s">
        <v>810</v>
      </c>
      <c r="F362" s="6" t="b">
        <f t="shared" si="83"/>
        <v>1</v>
      </c>
      <c r="G362" s="6">
        <f t="shared" si="84"/>
        <v>1</v>
      </c>
      <c r="H362" s="6" t="b">
        <f t="shared" si="85"/>
        <v>0</v>
      </c>
      <c r="I362" s="6">
        <f t="shared" si="86"/>
        <v>0</v>
      </c>
    </row>
    <row r="363" spans="2:10" ht="17.25" thickBot="1" x14ac:dyDescent="0.35">
      <c r="B363" s="4"/>
      <c r="C363" s="4" t="s">
        <v>260</v>
      </c>
      <c r="D363" s="4" t="s">
        <v>396</v>
      </c>
      <c r="E363" s="12" t="s">
        <v>811</v>
      </c>
      <c r="F363" s="6" t="b">
        <f t="shared" si="83"/>
        <v>1</v>
      </c>
      <c r="G363" s="6">
        <f t="shared" si="84"/>
        <v>1</v>
      </c>
      <c r="H363" s="6" t="b">
        <f t="shared" si="85"/>
        <v>0</v>
      </c>
      <c r="I363" s="6">
        <f t="shared" si="86"/>
        <v>0</v>
      </c>
    </row>
    <row r="364" spans="2:10" ht="17.25" thickBot="1" x14ac:dyDescent="0.35">
      <c r="B364" s="4"/>
      <c r="C364" s="4" t="s">
        <v>261</v>
      </c>
      <c r="D364" s="4"/>
      <c r="E364" s="4" t="s">
        <v>812</v>
      </c>
      <c r="F364" s="6" t="b">
        <f t="shared" si="83"/>
        <v>0</v>
      </c>
      <c r="G364" s="6">
        <f t="shared" si="84"/>
        <v>0</v>
      </c>
      <c r="H364" s="6" t="b">
        <f t="shared" si="85"/>
        <v>0</v>
      </c>
      <c r="I364" s="6">
        <f t="shared" si="86"/>
        <v>0</v>
      </c>
    </row>
    <row r="365" spans="2:10" ht="17.25" thickBot="1" x14ac:dyDescent="0.35">
      <c r="B365" s="4"/>
      <c r="C365" s="4"/>
      <c r="D365" s="4"/>
      <c r="E365" s="4" t="s">
        <v>813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6"/>
        <v>0</v>
      </c>
    </row>
    <row r="366" spans="2:10" ht="17.25" thickBot="1" x14ac:dyDescent="0.35">
      <c r="B366" s="5"/>
      <c r="C366" s="5"/>
      <c r="D366" s="5"/>
      <c r="E366" s="4" t="s">
        <v>528</v>
      </c>
      <c r="F366" s="6" t="b">
        <f t="shared" si="83"/>
        <v>0</v>
      </c>
      <c r="G366" s="6">
        <f t="shared" si="84"/>
        <v>0</v>
      </c>
      <c r="H366" s="6" t="b">
        <f t="shared" si="85"/>
        <v>0</v>
      </c>
      <c r="I366" s="6">
        <f t="shared" si="86"/>
        <v>0</v>
      </c>
      <c r="J366">
        <f t="shared" ref="J366" si="95">IF(hascolor(E362:E366,$L$5)=TRUE, 1, 0)</f>
        <v>0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13" t="s">
        <v>814</v>
      </c>
      <c r="F367" s="6" t="b">
        <f t="shared" si="83"/>
        <v>1</v>
      </c>
      <c r="G367" s="6">
        <f t="shared" si="84"/>
        <v>1</v>
      </c>
      <c r="H367" s="6" t="b">
        <f t="shared" si="85"/>
        <v>0</v>
      </c>
      <c r="I367" s="6">
        <f t="shared" si="86"/>
        <v>0</v>
      </c>
    </row>
    <row r="368" spans="2:10" ht="17.25" thickBot="1" x14ac:dyDescent="0.35">
      <c r="B368" s="4"/>
      <c r="C368" s="4" t="s">
        <v>263</v>
      </c>
      <c r="D368" s="4" t="s">
        <v>395</v>
      </c>
      <c r="E368" s="12" t="s">
        <v>815</v>
      </c>
      <c r="F368" s="6" t="b">
        <f t="shared" si="83"/>
        <v>1</v>
      </c>
      <c r="G368" s="6">
        <f t="shared" si="84"/>
        <v>1</v>
      </c>
      <c r="H368" s="6" t="b">
        <f t="shared" si="85"/>
        <v>0</v>
      </c>
      <c r="I368" s="6">
        <f t="shared" si="86"/>
        <v>0</v>
      </c>
    </row>
    <row r="369" spans="2:10" ht="17.25" thickBot="1" x14ac:dyDescent="0.35">
      <c r="B369" s="4"/>
      <c r="C369" s="4" t="s">
        <v>264</v>
      </c>
      <c r="D369" s="4"/>
      <c r="E369" s="4" t="s">
        <v>816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6"/>
        <v>0</v>
      </c>
    </row>
    <row r="370" spans="2:10" ht="17.25" thickBot="1" x14ac:dyDescent="0.35">
      <c r="B370" s="4"/>
      <c r="C370" s="4" t="s">
        <v>265</v>
      </c>
      <c r="E370" s="4" t="s">
        <v>817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4" t="s">
        <v>496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IF(hascolor(E367:E371,$L$5)=TRUE, 1, 0)</f>
        <v>0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13" t="s">
        <v>818</v>
      </c>
      <c r="F372" s="6" t="b">
        <f t="shared" si="83"/>
        <v>1</v>
      </c>
      <c r="G372" s="6">
        <f t="shared" si="84"/>
        <v>1</v>
      </c>
      <c r="H372" s="6" t="b">
        <f t="shared" si="85"/>
        <v>0</v>
      </c>
      <c r="I372" s="6">
        <f t="shared" si="86"/>
        <v>0</v>
      </c>
    </row>
    <row r="373" spans="2:10" ht="17.25" thickBot="1" x14ac:dyDescent="0.35">
      <c r="B373" s="4"/>
      <c r="C373" s="4" t="s">
        <v>267</v>
      </c>
      <c r="D373" s="4" t="s">
        <v>394</v>
      </c>
      <c r="E373" s="12" t="s">
        <v>819</v>
      </c>
      <c r="F373" s="6" t="b">
        <f t="shared" si="83"/>
        <v>1</v>
      </c>
      <c r="G373" s="6">
        <f t="shared" si="84"/>
        <v>1</v>
      </c>
      <c r="H373" s="6" t="b">
        <f t="shared" si="85"/>
        <v>0</v>
      </c>
      <c r="I373" s="6">
        <f t="shared" si="86"/>
        <v>0</v>
      </c>
    </row>
    <row r="374" spans="2:10" ht="17.25" thickBot="1" x14ac:dyDescent="0.35">
      <c r="B374" s="4"/>
      <c r="C374" s="4" t="s">
        <v>268</v>
      </c>
      <c r="E374" s="4" t="s">
        <v>820</v>
      </c>
      <c r="F374" s="6" t="b">
        <f t="shared" si="83"/>
        <v>0</v>
      </c>
      <c r="G374" s="6">
        <f t="shared" si="84"/>
        <v>0</v>
      </c>
      <c r="H374" s="6" t="b">
        <f t="shared" si="85"/>
        <v>0</v>
      </c>
      <c r="I374" s="6">
        <f t="shared" si="86"/>
        <v>0</v>
      </c>
    </row>
    <row r="375" spans="2:10" ht="17.25" thickBot="1" x14ac:dyDescent="0.35">
      <c r="B375" s="4"/>
      <c r="C375" s="4"/>
      <c r="D375" s="4"/>
      <c r="E375" s="4" t="s">
        <v>821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4" t="s">
        <v>530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IF(hascolor(E372:E376,$L$5)=TRUE, 1, 0)</f>
        <v>0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13" t="s">
        <v>822</v>
      </c>
      <c r="F377" s="6" t="b">
        <f t="shared" si="83"/>
        <v>1</v>
      </c>
      <c r="G377" s="6">
        <f t="shared" si="84"/>
        <v>1</v>
      </c>
      <c r="H377" s="6" t="b">
        <f t="shared" si="85"/>
        <v>0</v>
      </c>
      <c r="I377" s="6">
        <f t="shared" si="86"/>
        <v>0</v>
      </c>
    </row>
    <row r="378" spans="2:10" ht="17.25" thickBot="1" x14ac:dyDescent="0.35">
      <c r="B378" s="4"/>
      <c r="C378" s="4" t="s">
        <v>270</v>
      </c>
      <c r="D378" s="4" t="s">
        <v>393</v>
      </c>
      <c r="E378" s="12" t="s">
        <v>823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6"/>
        <v>0</v>
      </c>
    </row>
    <row r="379" spans="2:10" ht="17.25" thickBot="1" x14ac:dyDescent="0.35">
      <c r="B379" s="4"/>
      <c r="C379" s="4"/>
      <c r="D379" s="4"/>
      <c r="E379" s="4" t="s">
        <v>824</v>
      </c>
      <c r="F379" s="6" t="b">
        <f t="shared" si="83"/>
        <v>0</v>
      </c>
      <c r="G379" s="6">
        <f t="shared" si="84"/>
        <v>0</v>
      </c>
      <c r="H379" s="6" t="b">
        <f t="shared" si="85"/>
        <v>0</v>
      </c>
      <c r="I379" s="6">
        <f t="shared" si="86"/>
        <v>0</v>
      </c>
    </row>
    <row r="380" spans="2:10" ht="17.25" thickBot="1" x14ac:dyDescent="0.35">
      <c r="B380" s="4"/>
      <c r="C380" s="4"/>
      <c r="D380" s="4"/>
      <c r="E380" s="4" t="s">
        <v>825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6"/>
        <v>0</v>
      </c>
    </row>
    <row r="381" spans="2:10" ht="17.25" thickBot="1" x14ac:dyDescent="0.35">
      <c r="B381" s="5"/>
      <c r="C381" s="5"/>
      <c r="D381" s="5"/>
      <c r="E381" s="4" t="s">
        <v>573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IF(hascolor(E377:E381,$L$5)=TRUE, 1, 0)</f>
        <v>0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6" t="s">
        <v>826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6"/>
        <v>0</v>
      </c>
    </row>
    <row r="383" spans="2:10" ht="17.25" thickBot="1" x14ac:dyDescent="0.35">
      <c r="B383" s="4"/>
      <c r="C383" s="4"/>
      <c r="D383" s="4"/>
      <c r="E383" s="12" t="s">
        <v>827</v>
      </c>
      <c r="F383" s="6" t="b">
        <f t="shared" si="83"/>
        <v>0</v>
      </c>
      <c r="G383" s="6">
        <f t="shared" si="84"/>
        <v>0</v>
      </c>
      <c r="H383" s="6" t="b">
        <f t="shared" si="85"/>
        <v>0</v>
      </c>
      <c r="I383" s="6">
        <f t="shared" si="86"/>
        <v>0</v>
      </c>
    </row>
    <row r="384" spans="2:10" ht="17.25" thickBot="1" x14ac:dyDescent="0.35">
      <c r="B384" s="4"/>
      <c r="C384" s="4"/>
      <c r="D384" s="4"/>
      <c r="E384" s="4" t="s">
        <v>828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829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4" t="s">
        <v>498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si="86"/>
        <v>0</v>
      </c>
      <c r="J386">
        <f t="shared" ref="J386" si="99">IF(hascolor(E382:E386,$L$5)=TRUE, 1, 0)</f>
        <v>0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13" t="s">
        <v>830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hascolor(E387,$L$5)</f>
        <v>0</v>
      </c>
      <c r="I387" s="6">
        <f t="shared" ref="I387:I450" si="103">IF(H387, 1, 0)</f>
        <v>0</v>
      </c>
    </row>
    <row r="388" spans="2:10" ht="17.25" thickBot="1" x14ac:dyDescent="0.35">
      <c r="B388" s="4"/>
      <c r="C388" s="4" t="s">
        <v>273</v>
      </c>
      <c r="D388" s="4" t="s">
        <v>392</v>
      </c>
      <c r="E388" s="12" t="s">
        <v>831</v>
      </c>
      <c r="F388" s="6" t="b">
        <f t="shared" si="100"/>
        <v>1</v>
      </c>
      <c r="G388" s="6">
        <f t="shared" si="101"/>
        <v>1</v>
      </c>
      <c r="H388" s="6" t="b">
        <f t="shared" si="102"/>
        <v>0</v>
      </c>
      <c r="I388" s="6">
        <f t="shared" si="103"/>
        <v>0</v>
      </c>
    </row>
    <row r="389" spans="2:10" ht="17.25" thickBot="1" x14ac:dyDescent="0.35">
      <c r="B389" s="4"/>
      <c r="C389" s="4"/>
      <c r="D389" s="4"/>
      <c r="E389" s="4" t="s">
        <v>832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103"/>
        <v>0</v>
      </c>
    </row>
    <row r="390" spans="2:10" ht="17.25" thickBot="1" x14ac:dyDescent="0.35">
      <c r="B390" s="4"/>
      <c r="C390" s="4"/>
      <c r="D390" s="4"/>
      <c r="E390" s="4" t="s">
        <v>828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4" t="s">
        <v>497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IF(hascolor(E387:E391,$L$5)=TRUE, 1, 0)</f>
        <v>0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13" t="s">
        <v>833</v>
      </c>
      <c r="F392" s="6" t="b">
        <f t="shared" si="100"/>
        <v>1</v>
      </c>
      <c r="G392" s="6">
        <f t="shared" si="101"/>
        <v>1</v>
      </c>
      <c r="H392" s="6" t="b">
        <f t="shared" si="102"/>
        <v>0</v>
      </c>
      <c r="I392" s="6">
        <f t="shared" si="103"/>
        <v>0</v>
      </c>
    </row>
    <row r="393" spans="2:10" ht="17.25" thickBot="1" x14ac:dyDescent="0.35">
      <c r="B393" s="4"/>
      <c r="C393" s="4" t="s">
        <v>275</v>
      </c>
      <c r="D393" s="4"/>
      <c r="E393" s="4" t="s">
        <v>828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s="4" t="s">
        <v>830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831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4" t="s">
        <v>499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IF(hascolor(E392:E396,$L$5)=TRUE, 1, 0)</f>
        <v>0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13" t="s">
        <v>834</v>
      </c>
      <c r="F397" s="6" t="b">
        <f t="shared" si="100"/>
        <v>1</v>
      </c>
      <c r="G397" s="6">
        <f t="shared" si="101"/>
        <v>1</v>
      </c>
      <c r="H397" s="6" t="b">
        <f t="shared" si="102"/>
        <v>0</v>
      </c>
      <c r="I397" s="6">
        <f t="shared" si="103"/>
        <v>0</v>
      </c>
    </row>
    <row r="398" spans="2:10" ht="17.25" thickBot="1" x14ac:dyDescent="0.35">
      <c r="B398" s="4"/>
      <c r="C398" s="4" t="s">
        <v>462</v>
      </c>
      <c r="D398" s="4"/>
      <c r="E398" s="4" t="s">
        <v>835</v>
      </c>
      <c r="F398" s="6" t="b">
        <f t="shared" si="100"/>
        <v>0</v>
      </c>
      <c r="G398" s="6">
        <f t="shared" si="101"/>
        <v>0</v>
      </c>
      <c r="H398" s="6" t="b">
        <f t="shared" si="102"/>
        <v>0</v>
      </c>
      <c r="I398" s="6">
        <f t="shared" si="103"/>
        <v>0</v>
      </c>
    </row>
    <row r="399" spans="2:10" ht="17.25" thickBot="1" x14ac:dyDescent="0.35">
      <c r="B399" s="4"/>
      <c r="C399" s="4" t="s">
        <v>461</v>
      </c>
      <c r="D399" s="4"/>
      <c r="E399" s="4" t="s">
        <v>836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837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3" ht="17.25" thickBot="1" x14ac:dyDescent="0.35">
      <c r="B401" s="5"/>
      <c r="C401" s="5"/>
      <c r="D401" s="5"/>
      <c r="E401" s="4" t="s">
        <v>529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103"/>
        <v>0</v>
      </c>
      <c r="J401">
        <f t="shared" ref="J401" si="106">IF(hascolor(E397:E401,$L$5)=TRUE, 1, 0)</f>
        <v>0</v>
      </c>
      <c r="K401">
        <f>SUM(J352:J401)</f>
        <v>0</v>
      </c>
      <c r="M401">
        <f>SUM(I352:I401)</f>
        <v>0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13" t="s">
        <v>838</v>
      </c>
      <c r="F402" s="6" t="b">
        <f t="shared" si="100"/>
        <v>1</v>
      </c>
      <c r="G402" s="6">
        <f t="shared" si="101"/>
        <v>1</v>
      </c>
      <c r="H402" s="6" t="b">
        <f t="shared" si="102"/>
        <v>0</v>
      </c>
      <c r="I402" s="6">
        <f t="shared" si="103"/>
        <v>0</v>
      </c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839</v>
      </c>
      <c r="F403" s="6" t="b">
        <f t="shared" si="100"/>
        <v>1</v>
      </c>
      <c r="G403" s="6">
        <f t="shared" si="101"/>
        <v>1</v>
      </c>
      <c r="H403" s="6" t="b">
        <f t="shared" si="102"/>
        <v>0</v>
      </c>
      <c r="I403" s="6">
        <f t="shared" si="103"/>
        <v>0</v>
      </c>
    </row>
    <row r="404" spans="1:13" ht="17.25" thickBot="1" x14ac:dyDescent="0.35">
      <c r="B404" s="4"/>
      <c r="C404" s="4" t="s">
        <v>460</v>
      </c>
      <c r="E404" s="12" t="s">
        <v>840</v>
      </c>
      <c r="F404" s="6" t="b">
        <f t="shared" si="100"/>
        <v>0</v>
      </c>
      <c r="G404" s="6">
        <f t="shared" si="101"/>
        <v>0</v>
      </c>
      <c r="H404" s="6" t="b">
        <f t="shared" si="102"/>
        <v>0</v>
      </c>
      <c r="I404" s="6">
        <f t="shared" si="103"/>
        <v>0</v>
      </c>
    </row>
    <row r="405" spans="1:13" ht="17.25" thickBot="1" x14ac:dyDescent="0.35">
      <c r="B405" s="4"/>
      <c r="C405" s="4"/>
      <c r="D405" s="4"/>
      <c r="E405" s="4" t="s">
        <v>841</v>
      </c>
      <c r="F405" s="6" t="b">
        <f t="shared" si="100"/>
        <v>0</v>
      </c>
      <c r="G405" s="6">
        <f t="shared" si="101"/>
        <v>0</v>
      </c>
      <c r="H405" s="6" t="b">
        <f t="shared" si="102"/>
        <v>0</v>
      </c>
      <c r="I405" s="6">
        <f t="shared" si="103"/>
        <v>0</v>
      </c>
    </row>
    <row r="406" spans="1:13" ht="17.25" thickBot="1" x14ac:dyDescent="0.35">
      <c r="B406" s="5"/>
      <c r="C406" s="5"/>
      <c r="D406" s="5"/>
      <c r="E406" s="4" t="s">
        <v>574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103"/>
        <v>0</v>
      </c>
      <c r="J406">
        <f t="shared" ref="J406" si="107">IF(hascolor(E402:E406,$L$5)=TRUE, 1, 0)</f>
        <v>0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13" t="s">
        <v>842</v>
      </c>
      <c r="F407" s="6" t="b">
        <f t="shared" si="100"/>
        <v>1</v>
      </c>
      <c r="G407" s="6">
        <f t="shared" si="101"/>
        <v>1</v>
      </c>
      <c r="H407" s="6" t="b">
        <f t="shared" si="102"/>
        <v>0</v>
      </c>
      <c r="I407" s="6">
        <f t="shared" si="103"/>
        <v>0</v>
      </c>
    </row>
    <row r="408" spans="1:13" ht="17.25" thickBot="1" x14ac:dyDescent="0.35">
      <c r="B408" s="4"/>
      <c r="C408" s="4" t="s">
        <v>379</v>
      </c>
      <c r="D408" s="4" t="s">
        <v>379</v>
      </c>
      <c r="E408" s="12" t="s">
        <v>843</v>
      </c>
      <c r="F408" s="6" t="b">
        <f t="shared" si="100"/>
        <v>1</v>
      </c>
      <c r="G408" s="6">
        <f t="shared" si="101"/>
        <v>1</v>
      </c>
      <c r="H408" s="6" t="b">
        <f t="shared" si="102"/>
        <v>0</v>
      </c>
      <c r="I408" s="6">
        <f t="shared" si="103"/>
        <v>0</v>
      </c>
    </row>
    <row r="409" spans="1:13" ht="17.25" thickBot="1" x14ac:dyDescent="0.35">
      <c r="B409" s="4"/>
      <c r="C409" s="4"/>
      <c r="D409" s="4"/>
      <c r="E409" s="4" t="s">
        <v>844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3" ht="17.25" thickBot="1" x14ac:dyDescent="0.35">
      <c r="B410" s="4"/>
      <c r="C410" s="4"/>
      <c r="D410" s="4"/>
      <c r="E410" s="4" t="s">
        <v>845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3" ht="17.25" thickBot="1" x14ac:dyDescent="0.35">
      <c r="B411" s="5"/>
      <c r="C411" s="5"/>
      <c r="D411" s="5"/>
      <c r="E411" s="4" t="s">
        <v>575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IF(hascolor(E407:E411,$L$5)=TRUE, 1, 0)</f>
        <v>0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13" t="s">
        <v>846</v>
      </c>
      <c r="F412" s="6" t="b">
        <f t="shared" si="100"/>
        <v>1</v>
      </c>
      <c r="G412" s="6">
        <f t="shared" si="101"/>
        <v>1</v>
      </c>
      <c r="H412" s="6" t="b">
        <f t="shared" si="102"/>
        <v>0</v>
      </c>
      <c r="I412" s="6">
        <f t="shared" si="103"/>
        <v>0</v>
      </c>
    </row>
    <row r="413" spans="1:13" ht="17.25" thickBot="1" x14ac:dyDescent="0.35">
      <c r="B413" s="4"/>
      <c r="C413" s="4" t="s">
        <v>384</v>
      </c>
      <c r="D413" s="4" t="s">
        <v>384</v>
      </c>
      <c r="E413" s="12" t="s">
        <v>847</v>
      </c>
      <c r="F413" s="6" t="b">
        <f t="shared" si="100"/>
        <v>1</v>
      </c>
      <c r="G413" s="6">
        <f t="shared" si="101"/>
        <v>1</v>
      </c>
      <c r="H413" s="6" t="b">
        <f t="shared" si="102"/>
        <v>0</v>
      </c>
      <c r="I413" s="6">
        <f t="shared" si="103"/>
        <v>0</v>
      </c>
    </row>
    <row r="414" spans="1:13" ht="17.25" thickBot="1" x14ac:dyDescent="0.35">
      <c r="B414" s="4"/>
      <c r="C414" s="4"/>
      <c r="D414" s="4"/>
      <c r="E414" s="4" t="s">
        <v>848</v>
      </c>
      <c r="F414" s="6" t="b">
        <f t="shared" si="100"/>
        <v>0</v>
      </c>
      <c r="G414" s="6">
        <f t="shared" si="101"/>
        <v>0</v>
      </c>
      <c r="H414" s="6" t="b">
        <f t="shared" si="102"/>
        <v>0</v>
      </c>
      <c r="I414" s="6">
        <f t="shared" si="103"/>
        <v>0</v>
      </c>
    </row>
    <row r="415" spans="1:13" ht="17.25" thickBot="1" x14ac:dyDescent="0.35">
      <c r="B415" s="4"/>
      <c r="C415" s="4"/>
      <c r="D415" s="4"/>
      <c r="E415" s="4" t="s">
        <v>849</v>
      </c>
      <c r="F415" s="6" t="b">
        <f t="shared" si="100"/>
        <v>0</v>
      </c>
      <c r="G415" s="6">
        <f t="shared" si="101"/>
        <v>0</v>
      </c>
      <c r="H415" s="6" t="b">
        <f t="shared" si="102"/>
        <v>0</v>
      </c>
      <c r="I415" s="6">
        <f t="shared" si="103"/>
        <v>0</v>
      </c>
    </row>
    <row r="416" spans="1:13" ht="17.25" thickBot="1" x14ac:dyDescent="0.35">
      <c r="B416" s="5"/>
      <c r="C416" s="5"/>
      <c r="D416" s="5"/>
      <c r="E416" s="4" t="s">
        <v>576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103"/>
        <v>0</v>
      </c>
      <c r="J416">
        <f t="shared" ref="J416" si="109">IF(hascolor(E412:E416,$L$5)=TRUE, 1, 0)</f>
        <v>0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13" t="s">
        <v>850</v>
      </c>
      <c r="F417" s="6" t="b">
        <f t="shared" si="100"/>
        <v>1</v>
      </c>
      <c r="G417" s="6">
        <f t="shared" si="101"/>
        <v>1</v>
      </c>
      <c r="H417" s="6" t="b">
        <f t="shared" si="102"/>
        <v>0</v>
      </c>
      <c r="I417" s="6">
        <f t="shared" si="103"/>
        <v>0</v>
      </c>
    </row>
    <row r="418" spans="2:10" ht="17.25" thickBot="1" x14ac:dyDescent="0.35">
      <c r="B418" s="4"/>
      <c r="C418" s="4" t="s">
        <v>385</v>
      </c>
      <c r="D418" s="4" t="s">
        <v>385</v>
      </c>
      <c r="E418" s="4" t="s">
        <v>851</v>
      </c>
      <c r="F418" s="6" t="b">
        <f t="shared" si="100"/>
        <v>1</v>
      </c>
      <c r="G418" s="6">
        <f t="shared" si="101"/>
        <v>1</v>
      </c>
      <c r="H418" s="6" t="b">
        <f t="shared" si="102"/>
        <v>0</v>
      </c>
      <c r="I418" s="6">
        <f t="shared" si="103"/>
        <v>0</v>
      </c>
    </row>
    <row r="419" spans="2:10" ht="17.25" thickBot="1" x14ac:dyDescent="0.35">
      <c r="B419" s="4"/>
      <c r="C419" s="4"/>
      <c r="D419" s="4"/>
      <c r="E419" s="4" t="s">
        <v>852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12" t="s">
        <v>853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4" t="s">
        <v>577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IF(hascolor(E417:E421,$L$5)=TRUE, 1, 0)</f>
        <v>0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13" t="s">
        <v>854</v>
      </c>
      <c r="F422" s="6" t="b">
        <f t="shared" si="100"/>
        <v>1</v>
      </c>
      <c r="G422" s="6">
        <f t="shared" si="101"/>
        <v>1</v>
      </c>
      <c r="H422" s="6" t="b">
        <f t="shared" si="102"/>
        <v>0</v>
      </c>
      <c r="I422" s="6">
        <f t="shared" si="103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4" t="s">
        <v>855</v>
      </c>
      <c r="F423" s="6" t="b">
        <f t="shared" si="100"/>
        <v>1</v>
      </c>
      <c r="G423" s="6">
        <f t="shared" si="101"/>
        <v>1</v>
      </c>
      <c r="H423" s="6" t="b">
        <f t="shared" si="102"/>
        <v>0</v>
      </c>
      <c r="I423" s="6">
        <f t="shared" si="103"/>
        <v>0</v>
      </c>
    </row>
    <row r="424" spans="2:10" ht="17.25" thickBot="1" x14ac:dyDescent="0.35">
      <c r="B424" s="4"/>
      <c r="C424" s="4" t="s">
        <v>284</v>
      </c>
      <c r="D424" s="4"/>
      <c r="E424" s="12" t="s">
        <v>856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459</v>
      </c>
      <c r="E425" s="4" t="s">
        <v>857</v>
      </c>
      <c r="F425" s="6" t="b">
        <f t="shared" si="100"/>
        <v>0</v>
      </c>
      <c r="G425" s="6">
        <f t="shared" si="101"/>
        <v>0</v>
      </c>
      <c r="H425" s="6" t="b">
        <f t="shared" si="102"/>
        <v>0</v>
      </c>
      <c r="I425" s="6">
        <f t="shared" si="103"/>
        <v>0</v>
      </c>
    </row>
    <row r="426" spans="2:10" ht="17.25" thickBot="1" x14ac:dyDescent="0.35">
      <c r="B426" s="5"/>
      <c r="C426" s="5"/>
      <c r="D426" s="5"/>
      <c r="E426" s="4" t="s">
        <v>578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IF(hascolor(E422:E426,$L$5)=TRUE, 1, 0)</f>
        <v>0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13" t="s">
        <v>858</v>
      </c>
      <c r="F427" s="6" t="b">
        <f t="shared" si="100"/>
        <v>1</v>
      </c>
      <c r="G427" s="6">
        <f t="shared" si="101"/>
        <v>1</v>
      </c>
      <c r="H427" s="6" t="b">
        <f t="shared" si="102"/>
        <v>0</v>
      </c>
      <c r="I427" s="6">
        <f t="shared" si="103"/>
        <v>0</v>
      </c>
    </row>
    <row r="428" spans="2:10" ht="17.25" thickBot="1" x14ac:dyDescent="0.35">
      <c r="B428" s="4"/>
      <c r="C428" s="4" t="s">
        <v>286</v>
      </c>
      <c r="D428" s="4"/>
      <c r="E428" s="4" t="s">
        <v>859</v>
      </c>
      <c r="F428" s="6" t="b">
        <f t="shared" si="100"/>
        <v>0</v>
      </c>
      <c r="G428" s="6">
        <f t="shared" si="101"/>
        <v>0</v>
      </c>
      <c r="H428" s="6" t="b">
        <f t="shared" si="102"/>
        <v>0</v>
      </c>
      <c r="I428" s="6">
        <f t="shared" si="103"/>
        <v>0</v>
      </c>
    </row>
    <row r="429" spans="2:10" ht="17.25" thickBot="1" x14ac:dyDescent="0.35">
      <c r="B429" s="4"/>
      <c r="C429" s="4" t="s">
        <v>287</v>
      </c>
      <c r="D429" s="4"/>
      <c r="E429" s="4" t="s">
        <v>860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103"/>
        <v>0</v>
      </c>
    </row>
    <row r="430" spans="2:10" ht="17.25" thickBot="1" x14ac:dyDescent="0.35">
      <c r="B430" s="4"/>
      <c r="C430" s="4"/>
      <c r="D430" s="4"/>
      <c r="E430" s="4" t="s">
        <v>842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4" t="s">
        <v>579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IF(hascolor(E427:E431,$L$5)=TRUE, 1, 0)</f>
        <v>0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6" t="s">
        <v>861</v>
      </c>
      <c r="F432" s="6" t="b">
        <f t="shared" si="100"/>
        <v>1</v>
      </c>
      <c r="G432" s="6">
        <f t="shared" si="101"/>
        <v>1</v>
      </c>
      <c r="H432" s="6" t="b">
        <f t="shared" si="102"/>
        <v>0</v>
      </c>
      <c r="I432" s="6">
        <f t="shared" si="103"/>
        <v>0</v>
      </c>
    </row>
    <row r="433" spans="2:10" ht="17.25" thickBot="1" x14ac:dyDescent="0.35">
      <c r="B433" s="4"/>
      <c r="C433" s="4" t="s">
        <v>457</v>
      </c>
      <c r="D433" s="4"/>
      <c r="E433" s="12" t="s">
        <v>862</v>
      </c>
      <c r="F433" s="6" t="b">
        <f t="shared" si="100"/>
        <v>0</v>
      </c>
      <c r="G433" s="6">
        <f t="shared" si="101"/>
        <v>0</v>
      </c>
      <c r="H433" s="6" t="b">
        <f t="shared" si="102"/>
        <v>0</v>
      </c>
      <c r="I433" s="6">
        <f t="shared" si="103"/>
        <v>0</v>
      </c>
    </row>
    <row r="434" spans="2:10" ht="17.25" thickBot="1" x14ac:dyDescent="0.35">
      <c r="B434" s="4"/>
      <c r="C434" s="4"/>
      <c r="D434" s="4"/>
      <c r="E434" s="4" t="s">
        <v>863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103"/>
        <v>0</v>
      </c>
    </row>
    <row r="435" spans="2:10" ht="17.25" thickBot="1" x14ac:dyDescent="0.35">
      <c r="B435" s="4"/>
      <c r="C435" s="4"/>
      <c r="D435" s="4"/>
      <c r="E435" s="4" t="s">
        <v>864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4" t="s">
        <v>500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IF(hascolor(E432:E436,$L$5)=TRUE, 1, 0)</f>
        <v>0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13" t="s">
        <v>865</v>
      </c>
      <c r="F437" s="6" t="b">
        <f t="shared" si="100"/>
        <v>1</v>
      </c>
      <c r="G437" s="6">
        <f t="shared" si="101"/>
        <v>1</v>
      </c>
      <c r="H437" s="6" t="b">
        <f t="shared" si="102"/>
        <v>0</v>
      </c>
      <c r="I437" s="6">
        <f t="shared" si="103"/>
        <v>0</v>
      </c>
    </row>
    <row r="438" spans="2:10" ht="17.25" thickBot="1" x14ac:dyDescent="0.35">
      <c r="B438" s="4"/>
      <c r="C438" s="4" t="s">
        <v>289</v>
      </c>
      <c r="D438" s="4" t="s">
        <v>388</v>
      </c>
      <c r="E438" s="12" t="s">
        <v>866</v>
      </c>
      <c r="F438" s="6" t="b">
        <f t="shared" si="100"/>
        <v>1</v>
      </c>
      <c r="G438" s="6">
        <f t="shared" si="101"/>
        <v>1</v>
      </c>
      <c r="H438" s="6" t="b">
        <f t="shared" si="102"/>
        <v>0</v>
      </c>
      <c r="I438" s="6">
        <f t="shared" si="103"/>
        <v>0</v>
      </c>
    </row>
    <row r="439" spans="2:10" ht="17.25" thickBot="1" x14ac:dyDescent="0.35">
      <c r="B439" s="4"/>
      <c r="C439" s="4" t="s">
        <v>456</v>
      </c>
      <c r="E439" s="4" t="s">
        <v>867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4" t="s">
        <v>868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103"/>
        <v>0</v>
      </c>
    </row>
    <row r="441" spans="2:10" ht="17.25" thickBot="1" x14ac:dyDescent="0.35">
      <c r="B441" s="5"/>
      <c r="C441" s="5"/>
      <c r="D441" s="5"/>
      <c r="E441" s="4" t="s">
        <v>580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IF(hascolor(E437:E441,$L$5)=TRUE, 1, 0)</f>
        <v>0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13" t="s">
        <v>869</v>
      </c>
      <c r="F442" s="6" t="b">
        <f t="shared" si="100"/>
        <v>1</v>
      </c>
      <c r="G442" s="6">
        <f t="shared" si="101"/>
        <v>1</v>
      </c>
      <c r="H442" s="6" t="b">
        <f t="shared" si="102"/>
        <v>0</v>
      </c>
      <c r="I442" s="6">
        <f t="shared" si="103"/>
        <v>0</v>
      </c>
    </row>
    <row r="443" spans="2:10" ht="17.25" thickBot="1" x14ac:dyDescent="0.35">
      <c r="B443" s="4"/>
      <c r="C443" s="4"/>
      <c r="D443" s="4"/>
      <c r="E443" s="4" t="s">
        <v>870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s="4" t="s">
        <v>871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846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4" t="s">
        <v>581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IF(hascolor(E442:E446,$L$5)=TRUE, 1, 0)</f>
        <v>0</v>
      </c>
    </row>
    <row r="447" spans="2:10" ht="17.25" thickBot="1" x14ac:dyDescent="0.35">
      <c r="B447" s="6" t="s">
        <v>79</v>
      </c>
      <c r="C447" s="6" t="s">
        <v>454</v>
      </c>
      <c r="D447" s="6" t="s">
        <v>390</v>
      </c>
      <c r="E447" s="13" t="s">
        <v>872</v>
      </c>
      <c r="F447" s="6" t="b">
        <f t="shared" si="100"/>
        <v>1</v>
      </c>
      <c r="G447" s="6">
        <f t="shared" si="101"/>
        <v>1</v>
      </c>
      <c r="H447" s="6" t="b">
        <f t="shared" si="102"/>
        <v>0</v>
      </c>
      <c r="I447" s="6">
        <f t="shared" si="103"/>
        <v>0</v>
      </c>
    </row>
    <row r="448" spans="2:10" ht="17.25" thickBot="1" x14ac:dyDescent="0.35">
      <c r="B448" s="4"/>
      <c r="C448" s="4"/>
      <c r="D448" s="4"/>
      <c r="E448" s="4" t="s">
        <v>873</v>
      </c>
      <c r="F448" s="6" t="b">
        <f t="shared" si="100"/>
        <v>0</v>
      </c>
      <c r="G448" s="6">
        <f t="shared" si="101"/>
        <v>0</v>
      </c>
      <c r="H448" s="6" t="b">
        <f t="shared" si="102"/>
        <v>0</v>
      </c>
      <c r="I448" s="6">
        <f t="shared" si="103"/>
        <v>0</v>
      </c>
    </row>
    <row r="449" spans="1:13" ht="17.25" thickBot="1" x14ac:dyDescent="0.35">
      <c r="B449" s="4"/>
      <c r="C449" s="4"/>
      <c r="D449" s="4"/>
      <c r="E449" s="4" t="s">
        <v>874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3" ht="17.25" thickBot="1" x14ac:dyDescent="0.35">
      <c r="B450" s="4"/>
      <c r="C450" s="4"/>
      <c r="D450" s="4"/>
      <c r="E450" s="4" t="s">
        <v>875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3" ht="17.25" thickBot="1" x14ac:dyDescent="0.35">
      <c r="B451" s="5"/>
      <c r="C451" s="5"/>
      <c r="D451" s="5"/>
      <c r="E451" s="4" t="s">
        <v>531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hascolor(E451,$L$5)</f>
        <v>0</v>
      </c>
      <c r="I451" s="6">
        <f t="shared" ref="I451:I501" si="119">IF(H451, 1, 0)</f>
        <v>0</v>
      </c>
      <c r="J451">
        <f t="shared" ref="J451" si="120">IF(hascolor(E447:E451,$L$5)=TRUE, 1, 0)</f>
        <v>0</v>
      </c>
      <c r="K451">
        <f>SUM(J402:J451)</f>
        <v>0</v>
      </c>
      <c r="M451">
        <f>SUM(I402:I451)</f>
        <v>0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13" t="s">
        <v>876</v>
      </c>
      <c r="F452" s="6" t="b">
        <f t="shared" si="116"/>
        <v>1</v>
      </c>
      <c r="G452" s="6">
        <f t="shared" si="117"/>
        <v>1</v>
      </c>
      <c r="H452" s="6" t="b">
        <f t="shared" si="118"/>
        <v>0</v>
      </c>
      <c r="I452" s="6">
        <f t="shared" si="119"/>
        <v>0</v>
      </c>
    </row>
    <row r="453" spans="1:13" ht="17.25" thickBot="1" x14ac:dyDescent="0.35">
      <c r="B453" s="4"/>
      <c r="C453" s="4" t="s">
        <v>443</v>
      </c>
      <c r="D453" s="4" t="s">
        <v>412</v>
      </c>
      <c r="E453" s="12" t="s">
        <v>877</v>
      </c>
      <c r="F453" s="6" t="b">
        <f t="shared" si="116"/>
        <v>1</v>
      </c>
      <c r="G453" s="6">
        <f t="shared" si="117"/>
        <v>1</v>
      </c>
      <c r="H453" s="6" t="b">
        <f t="shared" si="118"/>
        <v>0</v>
      </c>
      <c r="I453" s="6">
        <f t="shared" si="119"/>
        <v>0</v>
      </c>
    </row>
    <row r="454" spans="1:13" ht="17.25" thickBot="1" x14ac:dyDescent="0.35">
      <c r="B454" s="4"/>
      <c r="C454" s="4" t="s">
        <v>452</v>
      </c>
      <c r="E454" s="4" t="s">
        <v>878</v>
      </c>
      <c r="F454" s="6" t="b">
        <f t="shared" si="116"/>
        <v>0</v>
      </c>
      <c r="G454" s="6">
        <f t="shared" si="117"/>
        <v>0</v>
      </c>
      <c r="H454" s="6" t="b">
        <f t="shared" si="118"/>
        <v>0</v>
      </c>
      <c r="I454" s="6">
        <f t="shared" si="119"/>
        <v>0</v>
      </c>
    </row>
    <row r="455" spans="1:13" ht="17.25" thickBot="1" x14ac:dyDescent="0.35">
      <c r="B455" s="4"/>
      <c r="C455" s="4" t="s">
        <v>453</v>
      </c>
      <c r="D455" s="4"/>
      <c r="E455" s="4" t="s">
        <v>879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3" ht="17.25" thickBot="1" x14ac:dyDescent="0.35">
      <c r="B456" s="5"/>
      <c r="C456" s="5"/>
      <c r="D456" s="5"/>
      <c r="E456" s="4" t="s">
        <v>464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IF(hascolor(E452:E456,$L$5)=TRUE, 1, 0)</f>
        <v>0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13" t="s">
        <v>880</v>
      </c>
      <c r="F457" s="6" t="b">
        <f t="shared" si="116"/>
        <v>1</v>
      </c>
      <c r="G457" s="6">
        <f t="shared" si="117"/>
        <v>1</v>
      </c>
      <c r="H457" s="6" t="b">
        <f t="shared" si="118"/>
        <v>0</v>
      </c>
      <c r="I457" s="6">
        <f t="shared" si="119"/>
        <v>0</v>
      </c>
    </row>
    <row r="458" spans="1:13" ht="17.25" thickBot="1" x14ac:dyDescent="0.35">
      <c r="B458" s="4"/>
      <c r="C458" s="4" t="s">
        <v>445</v>
      </c>
      <c r="D458" s="4"/>
      <c r="E458" s="4" t="s">
        <v>881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3" ht="17.25" thickBot="1" x14ac:dyDescent="0.35">
      <c r="B459" s="4"/>
      <c r="C459" s="4" t="s">
        <v>446</v>
      </c>
      <c r="D459" s="4"/>
      <c r="E459" s="4" t="s">
        <v>882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3" ht="17.25" thickBot="1" x14ac:dyDescent="0.35">
      <c r="B460" s="4"/>
      <c r="C460" s="4" t="s">
        <v>447</v>
      </c>
      <c r="D460" s="4"/>
      <c r="E460" s="4" t="s">
        <v>883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3" ht="17.25" thickBot="1" x14ac:dyDescent="0.35">
      <c r="B461" s="5"/>
      <c r="C461" s="5"/>
      <c r="D461" s="5"/>
      <c r="E461" s="4" t="s">
        <v>537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IF(hascolor(E457:E461,$L$5)=TRUE, 1, 0)</f>
        <v>0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13" t="s">
        <v>884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3" ht="17.25" thickBot="1" x14ac:dyDescent="0.35">
      <c r="B463" s="4"/>
      <c r="C463" s="4"/>
      <c r="D463" s="4"/>
      <c r="E463" s="4" t="s">
        <v>885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9"/>
        <v>0</v>
      </c>
    </row>
    <row r="464" spans="1:13" ht="17.25" thickBot="1" x14ac:dyDescent="0.35">
      <c r="B464" s="4"/>
      <c r="C464" s="4"/>
      <c r="D464" s="4"/>
      <c r="E464" s="4" t="s">
        <v>880</v>
      </c>
      <c r="F464" s="6" t="b">
        <f t="shared" si="116"/>
        <v>0</v>
      </c>
      <c r="G464" s="6">
        <f t="shared" si="117"/>
        <v>0</v>
      </c>
      <c r="H464" s="6" t="b">
        <f t="shared" si="118"/>
        <v>0</v>
      </c>
      <c r="I464" s="6">
        <f t="shared" si="119"/>
        <v>0</v>
      </c>
    </row>
    <row r="465" spans="2:10" ht="17.25" thickBot="1" x14ac:dyDescent="0.35">
      <c r="B465" s="4"/>
      <c r="C465" s="4"/>
      <c r="D465" s="4"/>
      <c r="E465" s="4" t="s">
        <v>886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9"/>
        <v>0</v>
      </c>
    </row>
    <row r="466" spans="2:10" ht="17.25" thickBot="1" x14ac:dyDescent="0.35">
      <c r="B466" s="5"/>
      <c r="C466" s="5"/>
      <c r="D466" s="5"/>
      <c r="E466" s="4" t="s">
        <v>536</v>
      </c>
      <c r="F466" s="6" t="b">
        <f t="shared" si="116"/>
        <v>0</v>
      </c>
      <c r="G466" s="6">
        <f t="shared" si="117"/>
        <v>0</v>
      </c>
      <c r="H466" s="6" t="b">
        <f t="shared" si="118"/>
        <v>0</v>
      </c>
      <c r="I466" s="6">
        <f t="shared" si="119"/>
        <v>0</v>
      </c>
      <c r="J466">
        <f t="shared" ref="J466" si="123">IF(hascolor(E462:E466,$L$5)=TRUE, 1, 0)</f>
        <v>0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13" t="s">
        <v>887</v>
      </c>
      <c r="F467" s="6" t="b">
        <f t="shared" si="116"/>
        <v>1</v>
      </c>
      <c r="G467" s="6">
        <f t="shared" si="117"/>
        <v>1</v>
      </c>
      <c r="H467" s="6" t="b">
        <f t="shared" si="118"/>
        <v>0</v>
      </c>
      <c r="I467" s="6">
        <f t="shared" si="119"/>
        <v>0</v>
      </c>
    </row>
    <row r="468" spans="2:10" ht="17.25" thickBot="1" x14ac:dyDescent="0.35">
      <c r="B468" s="4"/>
      <c r="C468" s="4" t="s">
        <v>450</v>
      </c>
      <c r="D468" s="4" t="s">
        <v>403</v>
      </c>
      <c r="E468" s="4" t="s">
        <v>888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9"/>
        <v>0</v>
      </c>
    </row>
    <row r="469" spans="2:10" ht="17.25" thickBot="1" x14ac:dyDescent="0.35">
      <c r="B469" s="4"/>
      <c r="C469" s="4"/>
      <c r="D469" s="4"/>
      <c r="E469" s="4" t="s">
        <v>889</v>
      </c>
      <c r="F469" s="6" t="b">
        <f t="shared" si="116"/>
        <v>0</v>
      </c>
      <c r="G469" s="6">
        <f t="shared" si="117"/>
        <v>0</v>
      </c>
      <c r="H469" s="6" t="b">
        <f t="shared" si="118"/>
        <v>0</v>
      </c>
      <c r="I469" s="6">
        <f t="shared" si="119"/>
        <v>0</v>
      </c>
    </row>
    <row r="470" spans="2:10" ht="17.25" thickBot="1" x14ac:dyDescent="0.35">
      <c r="B470" s="4"/>
      <c r="C470" s="4"/>
      <c r="D470" s="4"/>
      <c r="E470" s="4" t="s">
        <v>890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4" t="s">
        <v>532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IF(hascolor(E467:E471,$L$5)=TRUE, 1, 0)</f>
        <v>0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13" t="s">
        <v>876</v>
      </c>
      <c r="F472" s="6" t="b">
        <f t="shared" si="116"/>
        <v>1</v>
      </c>
      <c r="G472" s="6">
        <f t="shared" si="117"/>
        <v>1</v>
      </c>
      <c r="H472" s="6" t="b">
        <f t="shared" si="118"/>
        <v>0</v>
      </c>
      <c r="I472" s="6">
        <f t="shared" si="119"/>
        <v>0</v>
      </c>
    </row>
    <row r="473" spans="2:10" ht="17.25" thickBot="1" x14ac:dyDescent="0.35">
      <c r="B473" s="4"/>
      <c r="C473" s="4" t="s">
        <v>452</v>
      </c>
      <c r="D473" s="4" t="s">
        <v>412</v>
      </c>
      <c r="E473" s="12" t="s">
        <v>877</v>
      </c>
      <c r="F473" s="6" t="b">
        <f t="shared" si="116"/>
        <v>1</v>
      </c>
      <c r="G473" s="6">
        <f t="shared" si="117"/>
        <v>1</v>
      </c>
      <c r="H473" s="6" t="b">
        <f t="shared" si="118"/>
        <v>0</v>
      </c>
      <c r="I473" s="6">
        <f t="shared" si="119"/>
        <v>0</v>
      </c>
    </row>
    <row r="474" spans="2:10" ht="17.25" thickBot="1" x14ac:dyDescent="0.35">
      <c r="B474" s="4"/>
      <c r="C474" s="4"/>
      <c r="D474" s="4"/>
      <c r="E474" s="4" t="s">
        <v>885</v>
      </c>
      <c r="F474" s="6" t="b">
        <f t="shared" si="116"/>
        <v>0</v>
      </c>
      <c r="G474" s="6">
        <f t="shared" si="117"/>
        <v>0</v>
      </c>
      <c r="H474" s="6" t="b">
        <f t="shared" si="118"/>
        <v>0</v>
      </c>
      <c r="I474" s="6">
        <f t="shared" si="119"/>
        <v>0</v>
      </c>
    </row>
    <row r="475" spans="2:10" ht="17.25" thickBot="1" x14ac:dyDescent="0.35">
      <c r="B475" s="4"/>
      <c r="C475" s="4"/>
      <c r="D475" s="4"/>
      <c r="E475" s="4" t="s">
        <v>879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4" t="s">
        <v>533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IF(hascolor(E472:E476,$L$5)=TRUE, 1, 0)</f>
        <v>0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13" t="s">
        <v>887</v>
      </c>
      <c r="F477" s="6" t="b">
        <f t="shared" si="116"/>
        <v>1</v>
      </c>
      <c r="G477" s="6">
        <f t="shared" si="117"/>
        <v>1</v>
      </c>
      <c r="H477" s="6" t="b">
        <f t="shared" si="118"/>
        <v>0</v>
      </c>
      <c r="I477" s="6">
        <f t="shared" si="119"/>
        <v>0</v>
      </c>
    </row>
    <row r="478" spans="2:10" ht="17.25" thickBot="1" x14ac:dyDescent="0.35">
      <c r="B478" s="4"/>
      <c r="C478" s="4" t="s">
        <v>450</v>
      </c>
      <c r="D478" s="4" t="s">
        <v>403</v>
      </c>
      <c r="E478" s="4" t="s">
        <v>889</v>
      </c>
      <c r="F478" s="6" t="b">
        <f t="shared" si="116"/>
        <v>1</v>
      </c>
      <c r="G478" s="6">
        <f t="shared" si="117"/>
        <v>1</v>
      </c>
      <c r="H478" s="6" t="b">
        <f t="shared" si="118"/>
        <v>0</v>
      </c>
      <c r="I478" s="6">
        <f t="shared" si="119"/>
        <v>0</v>
      </c>
    </row>
    <row r="479" spans="2:10" ht="17.25" thickBot="1" x14ac:dyDescent="0.35">
      <c r="B479" s="4"/>
      <c r="C479" s="4"/>
      <c r="D479" s="4"/>
      <c r="E479" s="4" t="s">
        <v>888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4" t="s">
        <v>885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9"/>
        <v>0</v>
      </c>
    </row>
    <row r="481" spans="2:10" ht="17.25" thickBot="1" x14ac:dyDescent="0.35">
      <c r="B481" s="5"/>
      <c r="C481" s="5"/>
      <c r="D481" s="5"/>
      <c r="E481" s="4" t="s">
        <v>535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IF(hascolor(E477:E481,$L$5)=TRUE, 1, 0)</f>
        <v>0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13" t="s">
        <v>883</v>
      </c>
      <c r="F482" s="6" t="b">
        <f t="shared" si="116"/>
        <v>1</v>
      </c>
      <c r="G482" s="6">
        <f t="shared" si="117"/>
        <v>1</v>
      </c>
      <c r="H482" s="6" t="b">
        <f t="shared" si="118"/>
        <v>0</v>
      </c>
      <c r="I482" s="6">
        <f t="shared" si="119"/>
        <v>0</v>
      </c>
    </row>
    <row r="483" spans="2:10" ht="17.25" thickBot="1" x14ac:dyDescent="0.35">
      <c r="B483" s="4"/>
      <c r="C483" s="4" t="s">
        <v>291</v>
      </c>
      <c r="D483" s="4" t="s">
        <v>406</v>
      </c>
      <c r="E483" s="12" t="s">
        <v>886</v>
      </c>
      <c r="F483" s="6" t="b">
        <f t="shared" si="116"/>
        <v>1</v>
      </c>
      <c r="G483" s="6">
        <f t="shared" si="117"/>
        <v>1</v>
      </c>
      <c r="H483" s="6" t="b">
        <f t="shared" si="118"/>
        <v>0</v>
      </c>
      <c r="I483" s="6">
        <f t="shared" si="119"/>
        <v>0</v>
      </c>
    </row>
    <row r="484" spans="2:10" ht="17.25" thickBot="1" x14ac:dyDescent="0.35">
      <c r="B484" s="4"/>
      <c r="C484" s="4"/>
      <c r="D484" s="4"/>
      <c r="E484" s="4" t="s">
        <v>881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891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4" t="s">
        <v>535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IF(hascolor(E482:E486,$L$5)=TRUE, 1, 0)</f>
        <v>0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13" t="s">
        <v>890</v>
      </c>
      <c r="F487" s="6" t="b">
        <f t="shared" si="116"/>
        <v>1</v>
      </c>
      <c r="G487" s="6">
        <f t="shared" si="117"/>
        <v>1</v>
      </c>
      <c r="H487" s="6" t="b">
        <f t="shared" si="118"/>
        <v>0</v>
      </c>
      <c r="I487" s="6">
        <f t="shared" si="119"/>
        <v>0</v>
      </c>
    </row>
    <row r="488" spans="2:10" ht="17.25" thickBot="1" x14ac:dyDescent="0.35">
      <c r="B488" s="4"/>
      <c r="C488" s="4" t="s">
        <v>298</v>
      </c>
      <c r="D488" s="4" t="s">
        <v>408</v>
      </c>
      <c r="E488" s="12" t="s">
        <v>892</v>
      </c>
      <c r="F488" s="6" t="b">
        <f t="shared" si="116"/>
        <v>1</v>
      </c>
      <c r="G488" s="6">
        <f t="shared" si="117"/>
        <v>1</v>
      </c>
      <c r="H488" s="6" t="b">
        <f t="shared" si="118"/>
        <v>0</v>
      </c>
      <c r="I488" s="6">
        <f t="shared" si="119"/>
        <v>0</v>
      </c>
    </row>
    <row r="489" spans="2:10" ht="17.25" thickBot="1" x14ac:dyDescent="0.35">
      <c r="B489" s="4"/>
      <c r="C489" s="4"/>
      <c r="D489" s="4"/>
      <c r="E489" s="4" t="s">
        <v>882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9"/>
        <v>0</v>
      </c>
    </row>
    <row r="490" spans="2:10" ht="17.25" thickBot="1" x14ac:dyDescent="0.35">
      <c r="B490" s="4"/>
      <c r="C490" s="4"/>
      <c r="D490" s="4"/>
      <c r="E490" s="4" t="s">
        <v>887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4" t="s">
        <v>537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IF(hascolor(E487:E491,$L$5)=TRUE, 1, 0)</f>
        <v>0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13" t="s">
        <v>893</v>
      </c>
      <c r="F492" s="6" t="b">
        <f t="shared" si="116"/>
        <v>1</v>
      </c>
      <c r="G492" s="6">
        <f t="shared" si="117"/>
        <v>1</v>
      </c>
      <c r="H492" s="6" t="b">
        <f t="shared" si="118"/>
        <v>0</v>
      </c>
      <c r="I492" s="6">
        <f t="shared" si="119"/>
        <v>0</v>
      </c>
    </row>
    <row r="493" spans="2:10" ht="17.25" thickBot="1" x14ac:dyDescent="0.35">
      <c r="B493" s="4"/>
      <c r="C493" s="4" t="s">
        <v>293</v>
      </c>
      <c r="D493" s="4" t="s">
        <v>410</v>
      </c>
      <c r="E493" s="12" t="s">
        <v>894</v>
      </c>
      <c r="F493" s="6" t="b">
        <f t="shared" si="116"/>
        <v>1</v>
      </c>
      <c r="G493" s="6">
        <f t="shared" si="117"/>
        <v>1</v>
      </c>
      <c r="H493" s="6" t="b">
        <f t="shared" si="118"/>
        <v>0</v>
      </c>
      <c r="I493" s="6">
        <f t="shared" si="119"/>
        <v>0</v>
      </c>
    </row>
    <row r="494" spans="2:10" ht="17.25" thickBot="1" x14ac:dyDescent="0.35">
      <c r="B494" s="4"/>
      <c r="C494" s="4" t="s">
        <v>294</v>
      </c>
      <c r="D494" s="4" t="s">
        <v>411</v>
      </c>
      <c r="E494" s="12" t="s">
        <v>895</v>
      </c>
      <c r="F494" s="6" t="b">
        <f t="shared" si="116"/>
        <v>1</v>
      </c>
      <c r="G494" s="6">
        <f t="shared" si="117"/>
        <v>1</v>
      </c>
      <c r="H494" s="6" t="b">
        <f t="shared" si="118"/>
        <v>0</v>
      </c>
      <c r="I494" s="6">
        <f t="shared" si="119"/>
        <v>0</v>
      </c>
    </row>
    <row r="495" spans="2:10" ht="17.25" thickBot="1" x14ac:dyDescent="0.35">
      <c r="B495" s="4"/>
      <c r="C495" s="4" t="s">
        <v>295</v>
      </c>
      <c r="E495" s="4" t="s">
        <v>881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4" t="s">
        <v>537</v>
      </c>
      <c r="F496" s="6" t="b">
        <f t="shared" si="116"/>
        <v>0</v>
      </c>
      <c r="G496" s="6">
        <f t="shared" si="117"/>
        <v>0</v>
      </c>
      <c r="H496" s="6" t="b">
        <f t="shared" si="118"/>
        <v>0</v>
      </c>
      <c r="I496" s="6">
        <f t="shared" si="119"/>
        <v>0</v>
      </c>
      <c r="J496">
        <f t="shared" ref="J496" si="129">IF(hascolor(E492:E496,$L$5)=TRUE, 1, 0)</f>
        <v>0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13" t="s">
        <v>887</v>
      </c>
      <c r="F497" s="6" t="b">
        <f t="shared" si="116"/>
        <v>1</v>
      </c>
      <c r="G497" s="6">
        <f t="shared" si="117"/>
        <v>1</v>
      </c>
      <c r="H497" s="6" t="b">
        <f t="shared" si="118"/>
        <v>0</v>
      </c>
      <c r="I497" s="6">
        <f t="shared" si="119"/>
        <v>0</v>
      </c>
    </row>
    <row r="498" spans="2:13" ht="17.25" thickBot="1" x14ac:dyDescent="0.35">
      <c r="B498" s="4"/>
      <c r="C498" s="4"/>
      <c r="D498" s="4"/>
      <c r="E498" s="4" t="s">
        <v>888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9"/>
        <v>0</v>
      </c>
    </row>
    <row r="499" spans="2:13" ht="17.25" thickBot="1" x14ac:dyDescent="0.35">
      <c r="B499" s="4"/>
      <c r="C499" s="4"/>
      <c r="D499" s="4"/>
      <c r="E499" s="4" t="s">
        <v>889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3" ht="17.25" thickBot="1" x14ac:dyDescent="0.35">
      <c r="B500" s="4"/>
      <c r="C500" s="4"/>
      <c r="D500" s="4"/>
      <c r="E500" s="4" t="s">
        <v>896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3" ht="17.25" thickBot="1" x14ac:dyDescent="0.35">
      <c r="B501" s="5"/>
      <c r="C501" s="5"/>
      <c r="D501" s="5"/>
      <c r="E501" s="4" t="s">
        <v>534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9"/>
        <v>0</v>
      </c>
      <c r="J501">
        <f t="shared" ref="J501" si="130">IF(hascolor(E497:E501,$L$5)=TRUE, 1, 0)</f>
        <v>0</v>
      </c>
      <c r="K501">
        <f>SUM(J452:J501)</f>
        <v>0</v>
      </c>
      <c r="M501">
        <f>SUM(I452:I501)</f>
        <v>0</v>
      </c>
    </row>
    <row r="502" spans="2:13" ht="17.25" thickBot="1" x14ac:dyDescent="0.35">
      <c r="H502" s="6"/>
      <c r="I502" s="6"/>
    </row>
    <row r="503" spans="2:13" x14ac:dyDescent="0.3">
      <c r="G503" s="7">
        <f>SUM(G2:G501)</f>
        <v>205</v>
      </c>
      <c r="H503" s="6"/>
      <c r="I503" s="8">
        <f>SUM(I2:I501)</f>
        <v>0</v>
      </c>
      <c r="K503">
        <f>J502/100</f>
        <v>0</v>
      </c>
    </row>
    <row r="504" spans="2:13" x14ac:dyDescent="0.3">
      <c r="G504">
        <f>I503/G503%</f>
        <v>0</v>
      </c>
      <c r="I504" s="11"/>
      <c r="J504">
        <f>SUM(J2:J501)</f>
        <v>0</v>
      </c>
    </row>
    <row r="508" spans="2:13" x14ac:dyDescent="0.3">
      <c r="G508" s="10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2025-08-21T05:38:03Z</dcterms:modified>
</cp:coreProperties>
</file>