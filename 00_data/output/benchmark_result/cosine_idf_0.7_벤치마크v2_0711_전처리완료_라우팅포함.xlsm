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C23D5DB0-B00B-46D2-82F5-574214F89E61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01" i="1" l="1"/>
  <c r="J11" i="1"/>
  <c r="J71" i="1"/>
  <c r="J131" i="1"/>
  <c r="J191" i="1"/>
  <c r="J251" i="1"/>
  <c r="J311" i="1"/>
  <c r="J371" i="1"/>
  <c r="J431" i="1"/>
  <c r="J491" i="1"/>
  <c r="J16" i="1"/>
  <c r="J76" i="1"/>
  <c r="J136" i="1"/>
  <c r="J196" i="1"/>
  <c r="J256" i="1"/>
  <c r="J316" i="1"/>
  <c r="J436" i="1"/>
  <c r="J496" i="1"/>
  <c r="J361" i="1"/>
  <c r="J126" i="1"/>
  <c r="J366" i="1"/>
  <c r="J376" i="1"/>
  <c r="J21" i="1"/>
  <c r="J81" i="1"/>
  <c r="J141" i="1"/>
  <c r="J201" i="1"/>
  <c r="J261" i="1"/>
  <c r="J321" i="1"/>
  <c r="J381" i="1"/>
  <c r="J441" i="1"/>
  <c r="J501" i="1"/>
  <c r="J91" i="1"/>
  <c r="J151" i="1"/>
  <c r="J211" i="1"/>
  <c r="J271" i="1"/>
  <c r="J331" i="1"/>
  <c r="J391" i="1"/>
  <c r="J451" i="1"/>
  <c r="J36" i="1"/>
  <c r="J96" i="1"/>
  <c r="J156" i="1"/>
  <c r="J276" i="1"/>
  <c r="J396" i="1"/>
  <c r="J41" i="1"/>
  <c r="J221" i="1"/>
  <c r="J401" i="1"/>
  <c r="J106" i="1"/>
  <c r="J286" i="1"/>
  <c r="J466" i="1"/>
  <c r="J111" i="1"/>
  <c r="J231" i="1"/>
  <c r="J351" i="1"/>
  <c r="J471" i="1"/>
  <c r="J116" i="1"/>
  <c r="J296" i="1"/>
  <c r="J416" i="1"/>
  <c r="J121" i="1"/>
  <c r="J241" i="1"/>
  <c r="J481" i="1"/>
  <c r="J186" i="1"/>
  <c r="J306" i="1"/>
  <c r="J26" i="1"/>
  <c r="J86" i="1"/>
  <c r="J146" i="1"/>
  <c r="J206" i="1"/>
  <c r="J266" i="1"/>
  <c r="J326" i="1"/>
  <c r="J386" i="1"/>
  <c r="J446" i="1"/>
  <c r="J31" i="1"/>
  <c r="J216" i="1"/>
  <c r="J336" i="1"/>
  <c r="J456" i="1"/>
  <c r="J101" i="1"/>
  <c r="J161" i="1"/>
  <c r="J281" i="1"/>
  <c r="J341" i="1"/>
  <c r="J461" i="1"/>
  <c r="J46" i="1"/>
  <c r="J166" i="1"/>
  <c r="J226" i="1"/>
  <c r="J346" i="1"/>
  <c r="J406" i="1"/>
  <c r="J51" i="1"/>
  <c r="J171" i="1"/>
  <c r="J291" i="1"/>
  <c r="J411" i="1"/>
  <c r="J56" i="1"/>
  <c r="J176" i="1"/>
  <c r="J236" i="1"/>
  <c r="J356" i="1"/>
  <c r="J476" i="1"/>
  <c r="J61" i="1"/>
  <c r="J181" i="1"/>
  <c r="J301" i="1"/>
  <c r="J421" i="1"/>
  <c r="J66" i="1"/>
  <c r="J246" i="1"/>
  <c r="J426" i="1"/>
  <c r="J486" i="1"/>
  <c r="J6" i="1"/>
  <c r="H3" i="1"/>
  <c r="H15" i="1"/>
  <c r="H27" i="1"/>
  <c r="H39" i="1"/>
  <c r="H51" i="1"/>
  <c r="H63" i="1"/>
  <c r="H75" i="1"/>
  <c r="H87" i="1"/>
  <c r="H99" i="1"/>
  <c r="H111" i="1"/>
  <c r="H123" i="1"/>
  <c r="H135" i="1"/>
  <c r="H147" i="1"/>
  <c r="H159" i="1"/>
  <c r="H171" i="1"/>
  <c r="H183" i="1"/>
  <c r="H195" i="1"/>
  <c r="H207" i="1"/>
  <c r="H219" i="1"/>
  <c r="H231" i="1"/>
  <c r="H243" i="1"/>
  <c r="H255" i="1"/>
  <c r="H267" i="1"/>
  <c r="H279" i="1"/>
  <c r="H291" i="1"/>
  <c r="H303" i="1"/>
  <c r="H315" i="1"/>
  <c r="H327" i="1"/>
  <c r="H339" i="1"/>
  <c r="H351" i="1"/>
  <c r="H363" i="1"/>
  <c r="H375" i="1"/>
  <c r="H387" i="1"/>
  <c r="H399" i="1"/>
  <c r="H411" i="1"/>
  <c r="H423" i="1"/>
  <c r="H435" i="1"/>
  <c r="H447" i="1"/>
  <c r="H459" i="1"/>
  <c r="H471" i="1"/>
  <c r="H483" i="1"/>
  <c r="H495" i="1"/>
  <c r="H17" i="1"/>
  <c r="H41" i="1"/>
  <c r="H65" i="1"/>
  <c r="H101" i="1"/>
  <c r="H137" i="1"/>
  <c r="H161" i="1"/>
  <c r="H185" i="1"/>
  <c r="H221" i="1"/>
  <c r="H245" i="1"/>
  <c r="H269" i="1"/>
  <c r="H305" i="1"/>
  <c r="H4" i="1"/>
  <c r="H16" i="1"/>
  <c r="H28" i="1"/>
  <c r="H40" i="1"/>
  <c r="H52" i="1"/>
  <c r="H64" i="1"/>
  <c r="H76" i="1"/>
  <c r="H88" i="1"/>
  <c r="H100" i="1"/>
  <c r="H112" i="1"/>
  <c r="H124" i="1"/>
  <c r="H136" i="1"/>
  <c r="H148" i="1"/>
  <c r="H160" i="1"/>
  <c r="H172" i="1"/>
  <c r="H184" i="1"/>
  <c r="H196" i="1"/>
  <c r="H208" i="1"/>
  <c r="H220" i="1"/>
  <c r="H232" i="1"/>
  <c r="H244" i="1"/>
  <c r="H256" i="1"/>
  <c r="H268" i="1"/>
  <c r="H280" i="1"/>
  <c r="H292" i="1"/>
  <c r="H304" i="1"/>
  <c r="H316" i="1"/>
  <c r="H328" i="1"/>
  <c r="H340" i="1"/>
  <c r="H352" i="1"/>
  <c r="H364" i="1"/>
  <c r="H376" i="1"/>
  <c r="H388" i="1"/>
  <c r="H400" i="1"/>
  <c r="H412" i="1"/>
  <c r="H424" i="1"/>
  <c r="H436" i="1"/>
  <c r="H448" i="1"/>
  <c r="H460" i="1"/>
  <c r="H472" i="1"/>
  <c r="H484" i="1"/>
  <c r="H496" i="1"/>
  <c r="H5" i="1"/>
  <c r="H29" i="1"/>
  <c r="H53" i="1"/>
  <c r="H77" i="1"/>
  <c r="H89" i="1"/>
  <c r="H113" i="1"/>
  <c r="H125" i="1"/>
  <c r="H149" i="1"/>
  <c r="H173" i="1"/>
  <c r="H197" i="1"/>
  <c r="H209" i="1"/>
  <c r="H233" i="1"/>
  <c r="H257" i="1"/>
  <c r="H281" i="1"/>
  <c r="H293" i="1"/>
  <c r="H317" i="1"/>
  <c r="H329" i="1"/>
  <c r="H341" i="1"/>
  <c r="H365" i="1"/>
  <c r="H377" i="1"/>
  <c r="H7" i="1"/>
  <c r="H19" i="1"/>
  <c r="H31" i="1"/>
  <c r="H43" i="1"/>
  <c r="H55" i="1"/>
  <c r="H67" i="1"/>
  <c r="H79" i="1"/>
  <c r="H91" i="1"/>
  <c r="H103" i="1"/>
  <c r="H115" i="1"/>
  <c r="H127" i="1"/>
  <c r="H139" i="1"/>
  <c r="H151" i="1"/>
  <c r="H163" i="1"/>
  <c r="H175" i="1"/>
  <c r="H187" i="1"/>
  <c r="H199" i="1"/>
  <c r="H211" i="1"/>
  <c r="H223" i="1"/>
  <c r="H235" i="1"/>
  <c r="H247" i="1"/>
  <c r="H259" i="1"/>
  <c r="H271" i="1"/>
  <c r="H283" i="1"/>
  <c r="H295" i="1"/>
  <c r="H307" i="1"/>
  <c r="H319" i="1"/>
  <c r="H331" i="1"/>
  <c r="H343" i="1"/>
  <c r="H355" i="1"/>
  <c r="H367" i="1"/>
  <c r="H379" i="1"/>
  <c r="H391" i="1"/>
  <c r="H403" i="1"/>
  <c r="H415" i="1"/>
  <c r="H427" i="1"/>
  <c r="H439" i="1"/>
  <c r="H451" i="1"/>
  <c r="H463" i="1"/>
  <c r="H475" i="1"/>
  <c r="H487" i="1"/>
  <c r="H499" i="1"/>
  <c r="H8" i="1"/>
  <c r="H20" i="1"/>
  <c r="H32" i="1"/>
  <c r="H44" i="1"/>
  <c r="H56" i="1"/>
  <c r="H68" i="1"/>
  <c r="H80" i="1"/>
  <c r="H92" i="1"/>
  <c r="H104" i="1"/>
  <c r="H116" i="1"/>
  <c r="H128" i="1"/>
  <c r="H140" i="1"/>
  <c r="H152" i="1"/>
  <c r="H164" i="1"/>
  <c r="H176" i="1"/>
  <c r="H188" i="1"/>
  <c r="H200" i="1"/>
  <c r="H212" i="1"/>
  <c r="H224" i="1"/>
  <c r="H236" i="1"/>
  <c r="H248" i="1"/>
  <c r="H260" i="1"/>
  <c r="H272" i="1"/>
  <c r="H284" i="1"/>
  <c r="H6" i="1"/>
  <c r="H25" i="1"/>
  <c r="H47" i="1"/>
  <c r="H69" i="1"/>
  <c r="H86" i="1"/>
  <c r="H108" i="1"/>
  <c r="H130" i="1"/>
  <c r="H150" i="1"/>
  <c r="H169" i="1"/>
  <c r="H191" i="1"/>
  <c r="H213" i="1"/>
  <c r="H230" i="1"/>
  <c r="H252" i="1"/>
  <c r="H274" i="1"/>
  <c r="H294" i="1"/>
  <c r="H311" i="1"/>
  <c r="H330" i="1"/>
  <c r="H347" i="1"/>
  <c r="H362" i="1"/>
  <c r="H382" i="1"/>
  <c r="H397" i="1"/>
  <c r="H414" i="1"/>
  <c r="H430" i="1"/>
  <c r="H445" i="1"/>
  <c r="H462" i="1"/>
  <c r="H478" i="1"/>
  <c r="H493" i="1"/>
  <c r="H30" i="1"/>
  <c r="H71" i="1"/>
  <c r="H110" i="1"/>
  <c r="H174" i="1"/>
  <c r="H215" i="1"/>
  <c r="H254" i="1"/>
  <c r="H313" i="1"/>
  <c r="H349" i="1"/>
  <c r="H401" i="1"/>
  <c r="H432" i="1"/>
  <c r="H465" i="1"/>
  <c r="H11" i="1"/>
  <c r="H72" i="1"/>
  <c r="H114" i="1"/>
  <c r="H155" i="1"/>
  <c r="H216" i="1"/>
  <c r="H258" i="1"/>
  <c r="H298" i="1"/>
  <c r="H9" i="1"/>
  <c r="H26" i="1"/>
  <c r="H48" i="1"/>
  <c r="H70" i="1"/>
  <c r="H90" i="1"/>
  <c r="H109" i="1"/>
  <c r="H131" i="1"/>
  <c r="H153" i="1"/>
  <c r="H170" i="1"/>
  <c r="H192" i="1"/>
  <c r="H214" i="1"/>
  <c r="H234" i="1"/>
  <c r="H253" i="1"/>
  <c r="H275" i="1"/>
  <c r="H296" i="1"/>
  <c r="H312" i="1"/>
  <c r="H332" i="1"/>
  <c r="H348" i="1"/>
  <c r="H366" i="1"/>
  <c r="H383" i="1"/>
  <c r="H398" i="1"/>
  <c r="H416" i="1"/>
  <c r="H431" i="1"/>
  <c r="H446" i="1"/>
  <c r="H464" i="1"/>
  <c r="H479" i="1"/>
  <c r="H494" i="1"/>
  <c r="H10" i="1"/>
  <c r="H49" i="1"/>
  <c r="H93" i="1"/>
  <c r="H132" i="1"/>
  <c r="H154" i="1"/>
  <c r="H193" i="1"/>
  <c r="H237" i="1"/>
  <c r="H276" i="1"/>
  <c r="H297" i="1"/>
  <c r="H333" i="1"/>
  <c r="H368" i="1"/>
  <c r="H384" i="1"/>
  <c r="H417" i="1"/>
  <c r="H449" i="1"/>
  <c r="H480" i="1"/>
  <c r="H497" i="1"/>
  <c r="H33" i="1"/>
  <c r="H50" i="1"/>
  <c r="H94" i="1"/>
  <c r="H133" i="1"/>
  <c r="H177" i="1"/>
  <c r="H194" i="1"/>
  <c r="H238" i="1"/>
  <c r="H277" i="1"/>
  <c r="H314" i="1"/>
  <c r="H12" i="1"/>
  <c r="H34" i="1"/>
  <c r="H54" i="1"/>
  <c r="H73" i="1"/>
  <c r="H95" i="1"/>
  <c r="H117" i="1"/>
  <c r="H134" i="1"/>
  <c r="H156" i="1"/>
  <c r="H178" i="1"/>
  <c r="H198" i="1"/>
  <c r="H217" i="1"/>
  <c r="H239" i="1"/>
  <c r="H261" i="1"/>
  <c r="H278" i="1"/>
  <c r="H299" i="1"/>
  <c r="H318" i="1"/>
  <c r="H335" i="1"/>
  <c r="H353" i="1"/>
  <c r="H370" i="1"/>
  <c r="H386" i="1"/>
  <c r="H404" i="1"/>
  <c r="H419" i="1"/>
  <c r="H434" i="1"/>
  <c r="H452" i="1"/>
  <c r="H467" i="1"/>
  <c r="H482" i="1"/>
  <c r="H500" i="1"/>
  <c r="H13" i="1"/>
  <c r="H35" i="1"/>
  <c r="H57" i="1"/>
  <c r="H74" i="1"/>
  <c r="H96" i="1"/>
  <c r="H118" i="1"/>
  <c r="H138" i="1"/>
  <c r="H157" i="1"/>
  <c r="H179" i="1"/>
  <c r="H201" i="1"/>
  <c r="H218" i="1"/>
  <c r="H240" i="1"/>
  <c r="H262" i="1"/>
  <c r="H282" i="1"/>
  <c r="H300" i="1"/>
  <c r="H320" i="1"/>
  <c r="H336" i="1"/>
  <c r="H354" i="1"/>
  <c r="H371" i="1"/>
  <c r="H389" i="1"/>
  <c r="H405" i="1"/>
  <c r="H420" i="1"/>
  <c r="H437" i="1"/>
  <c r="H453" i="1"/>
  <c r="H468" i="1"/>
  <c r="H485" i="1"/>
  <c r="H501" i="1"/>
  <c r="H14" i="1"/>
  <c r="H36" i="1"/>
  <c r="H58" i="1"/>
  <c r="H78" i="1"/>
  <c r="H97" i="1"/>
  <c r="H119" i="1"/>
  <c r="H141" i="1"/>
  <c r="H18" i="1"/>
  <c r="H61" i="1"/>
  <c r="H107" i="1"/>
  <c r="H162" i="1"/>
  <c r="H203" i="1"/>
  <c r="H242" i="1"/>
  <c r="H286" i="1"/>
  <c r="H322" i="1"/>
  <c r="H350" i="1"/>
  <c r="H380" i="1"/>
  <c r="H408" i="1"/>
  <c r="H438" i="1"/>
  <c r="H461" i="1"/>
  <c r="H490" i="1"/>
  <c r="H66" i="1"/>
  <c r="H166" i="1"/>
  <c r="H249" i="1"/>
  <c r="H324" i="1"/>
  <c r="H410" i="1"/>
  <c r="H469" i="1"/>
  <c r="H81" i="1"/>
  <c r="H167" i="1"/>
  <c r="H250" i="1"/>
  <c r="H325" i="1"/>
  <c r="H390" i="1"/>
  <c r="H470" i="1"/>
  <c r="H143" i="1"/>
  <c r="H338" i="1"/>
  <c r="H454" i="1"/>
  <c r="H144" i="1"/>
  <c r="H308" i="1"/>
  <c r="H426" i="1"/>
  <c r="H145" i="1"/>
  <c r="H228" i="1"/>
  <c r="H344" i="1"/>
  <c r="H428" i="1"/>
  <c r="H146" i="1"/>
  <c r="H345" i="1"/>
  <c r="H158" i="1"/>
  <c r="H241" i="1"/>
  <c r="H346" i="1"/>
  <c r="H433" i="1"/>
  <c r="H21" i="1"/>
  <c r="H62" i="1"/>
  <c r="H120" i="1"/>
  <c r="H165" i="1"/>
  <c r="H204" i="1"/>
  <c r="H246" i="1"/>
  <c r="H287" i="1"/>
  <c r="H323" i="1"/>
  <c r="H356" i="1"/>
  <c r="H381" i="1"/>
  <c r="H409" i="1"/>
  <c r="H440" i="1"/>
  <c r="H466" i="1"/>
  <c r="H491" i="1"/>
  <c r="H22" i="1"/>
  <c r="H121" i="1"/>
  <c r="H205" i="1"/>
  <c r="H288" i="1"/>
  <c r="H357" i="1"/>
  <c r="H385" i="1"/>
  <c r="H441" i="1"/>
  <c r="H492" i="1"/>
  <c r="H23" i="1"/>
  <c r="H122" i="1"/>
  <c r="H206" i="1"/>
  <c r="H289" i="1"/>
  <c r="H358" i="1"/>
  <c r="H413" i="1"/>
  <c r="H442" i="1"/>
  <c r="H498" i="1"/>
  <c r="H85" i="1"/>
  <c r="H182" i="1"/>
  <c r="H265" i="1"/>
  <c r="H369" i="1"/>
  <c r="H425" i="1"/>
  <c r="H45" i="1"/>
  <c r="H186" i="1"/>
  <c r="H227" i="1"/>
  <c r="H342" i="1"/>
  <c r="H372" i="1"/>
  <c r="H455" i="1"/>
  <c r="H481" i="1"/>
  <c r="H46" i="1"/>
  <c r="H270" i="1"/>
  <c r="H373" i="1"/>
  <c r="H456" i="1"/>
  <c r="H59" i="1"/>
  <c r="H190" i="1"/>
  <c r="H229" i="1"/>
  <c r="H310" i="1"/>
  <c r="H374" i="1"/>
  <c r="H406" i="1"/>
  <c r="H457" i="1"/>
  <c r="H488" i="1"/>
  <c r="H60" i="1"/>
  <c r="H321" i="1"/>
  <c r="H407" i="1"/>
  <c r="H489" i="1"/>
  <c r="H24" i="1"/>
  <c r="H82" i="1"/>
  <c r="H126" i="1"/>
  <c r="H168" i="1"/>
  <c r="H210" i="1"/>
  <c r="H251" i="1"/>
  <c r="H290" i="1"/>
  <c r="H326" i="1"/>
  <c r="H359" i="1"/>
  <c r="H392" i="1"/>
  <c r="H418" i="1"/>
  <c r="H443" i="1"/>
  <c r="H473" i="1"/>
  <c r="H37" i="1"/>
  <c r="H83" i="1"/>
  <c r="H129" i="1"/>
  <c r="H180" i="1"/>
  <c r="H222" i="1"/>
  <c r="H263" i="1"/>
  <c r="H301" i="1"/>
  <c r="H334" i="1"/>
  <c r="H360" i="1"/>
  <c r="H393" i="1"/>
  <c r="H421" i="1"/>
  <c r="H444" i="1"/>
  <c r="H474" i="1"/>
  <c r="H38" i="1"/>
  <c r="H84" i="1"/>
  <c r="H142" i="1"/>
  <c r="H181" i="1"/>
  <c r="H225" i="1"/>
  <c r="H264" i="1"/>
  <c r="H302" i="1"/>
  <c r="H337" i="1"/>
  <c r="H361" i="1"/>
  <c r="H394" i="1"/>
  <c r="H422" i="1"/>
  <c r="H450" i="1"/>
  <c r="H476" i="1"/>
  <c r="H42" i="1"/>
  <c r="H226" i="1"/>
  <c r="H306" i="1"/>
  <c r="H395" i="1"/>
  <c r="H477" i="1"/>
  <c r="H98" i="1"/>
  <c r="H266" i="1"/>
  <c r="H396" i="1"/>
  <c r="H102" i="1"/>
  <c r="H189" i="1"/>
  <c r="H309" i="1"/>
  <c r="H402" i="1"/>
  <c r="H486" i="1"/>
  <c r="H105" i="1"/>
  <c r="H273" i="1"/>
  <c r="H429" i="1"/>
  <c r="H106" i="1"/>
  <c r="H202" i="1"/>
  <c r="H285" i="1"/>
  <c r="H378" i="1"/>
  <c r="H458" i="1"/>
  <c r="H2" i="1"/>
  <c r="I458" i="1" l="1"/>
  <c r="I378" i="1"/>
  <c r="I285" i="1"/>
  <c r="I202" i="1"/>
  <c r="I106" i="1"/>
  <c r="I429" i="1"/>
  <c r="I273" i="1"/>
  <c r="I105" i="1"/>
  <c r="I486" i="1"/>
  <c r="I402" i="1"/>
  <c r="I309" i="1"/>
  <c r="I189" i="1"/>
  <c r="I102" i="1"/>
  <c r="I396" i="1"/>
  <c r="I266" i="1"/>
  <c r="I98" i="1"/>
  <c r="I477" i="1"/>
  <c r="I395" i="1"/>
  <c r="I306" i="1"/>
  <c r="I226" i="1"/>
  <c r="I42" i="1"/>
  <c r="I476" i="1"/>
  <c r="I450" i="1"/>
  <c r="I422" i="1"/>
  <c r="I394" i="1"/>
  <c r="I361" i="1"/>
  <c r="I337" i="1"/>
  <c r="I302" i="1"/>
  <c r="I264" i="1"/>
  <c r="I225" i="1"/>
  <c r="I181" i="1"/>
  <c r="I142" i="1"/>
  <c r="I84" i="1"/>
  <c r="I38" i="1"/>
  <c r="I474" i="1"/>
  <c r="I444" i="1"/>
  <c r="I421" i="1"/>
  <c r="I393" i="1"/>
  <c r="I360" i="1"/>
  <c r="I334" i="1"/>
  <c r="I301" i="1"/>
  <c r="I263" i="1"/>
  <c r="I222" i="1"/>
  <c r="I180" i="1"/>
  <c r="I129" i="1"/>
  <c r="I83" i="1"/>
  <c r="I37" i="1"/>
  <c r="I473" i="1"/>
  <c r="I443" i="1"/>
  <c r="I418" i="1"/>
  <c r="I392" i="1"/>
  <c r="I359" i="1"/>
  <c r="I326" i="1"/>
  <c r="I290" i="1"/>
  <c r="I251" i="1"/>
  <c r="I210" i="1"/>
  <c r="I168" i="1"/>
  <c r="I126" i="1"/>
  <c r="I82" i="1"/>
  <c r="I24" i="1"/>
  <c r="I489" i="1"/>
  <c r="I407" i="1"/>
  <c r="I321" i="1"/>
  <c r="I60" i="1"/>
  <c r="I488" i="1"/>
  <c r="I457" i="1"/>
  <c r="I406" i="1"/>
  <c r="I374" i="1"/>
  <c r="I310" i="1"/>
  <c r="I229" i="1"/>
  <c r="I190" i="1"/>
  <c r="I59" i="1"/>
  <c r="I456" i="1"/>
  <c r="I373" i="1"/>
  <c r="I270" i="1"/>
  <c r="I46" i="1"/>
  <c r="I481" i="1"/>
  <c r="I455" i="1"/>
  <c r="I372" i="1"/>
  <c r="I342" i="1"/>
  <c r="I227" i="1"/>
  <c r="I186" i="1"/>
  <c r="I45" i="1"/>
  <c r="I425" i="1"/>
  <c r="I369" i="1"/>
  <c r="I265" i="1"/>
  <c r="I182" i="1"/>
  <c r="I85" i="1"/>
  <c r="I498" i="1"/>
  <c r="I442" i="1"/>
  <c r="I413" i="1"/>
  <c r="I358" i="1"/>
  <c r="I289" i="1"/>
  <c r="I206" i="1"/>
  <c r="I122" i="1"/>
  <c r="I23" i="1"/>
  <c r="I492" i="1"/>
  <c r="I441" i="1"/>
  <c r="I385" i="1"/>
  <c r="I357" i="1"/>
  <c r="I288" i="1"/>
  <c r="I205" i="1"/>
  <c r="I121" i="1"/>
  <c r="I22" i="1"/>
  <c r="I491" i="1"/>
  <c r="I466" i="1"/>
  <c r="I440" i="1"/>
  <c r="I409" i="1"/>
  <c r="I381" i="1"/>
  <c r="I356" i="1"/>
  <c r="I323" i="1"/>
  <c r="I287" i="1"/>
  <c r="I246" i="1"/>
  <c r="I204" i="1"/>
  <c r="I165" i="1"/>
  <c r="I120" i="1"/>
  <c r="I62" i="1"/>
  <c r="I21" i="1"/>
  <c r="I433" i="1"/>
  <c r="I346" i="1"/>
  <c r="I241" i="1"/>
  <c r="I158" i="1"/>
  <c r="I345" i="1"/>
  <c r="I146" i="1"/>
  <c r="I428" i="1"/>
  <c r="I344" i="1"/>
  <c r="I228" i="1"/>
  <c r="I145" i="1"/>
  <c r="I426" i="1"/>
  <c r="I308" i="1"/>
  <c r="I144" i="1"/>
  <c r="I454" i="1"/>
  <c r="I338" i="1"/>
  <c r="I143" i="1"/>
  <c r="I470" i="1"/>
  <c r="I390" i="1"/>
  <c r="I325" i="1"/>
  <c r="I250" i="1"/>
  <c r="I167" i="1"/>
  <c r="I81" i="1"/>
  <c r="I469" i="1"/>
  <c r="I410" i="1"/>
  <c r="I324" i="1"/>
  <c r="I249" i="1"/>
  <c r="I166" i="1"/>
  <c r="I66" i="1"/>
  <c r="I490" i="1"/>
  <c r="I461" i="1"/>
  <c r="I438" i="1"/>
  <c r="I408" i="1"/>
  <c r="I380" i="1"/>
  <c r="I350" i="1"/>
  <c r="I322" i="1"/>
  <c r="I286" i="1"/>
  <c r="I242" i="1"/>
  <c r="I203" i="1"/>
  <c r="I162" i="1"/>
  <c r="I107" i="1"/>
  <c r="I61" i="1"/>
  <c r="I18" i="1"/>
  <c r="I141" i="1"/>
  <c r="I119" i="1"/>
  <c r="I97" i="1"/>
  <c r="I78" i="1"/>
  <c r="I58" i="1"/>
  <c r="I36" i="1"/>
  <c r="I14" i="1"/>
  <c r="I501" i="1"/>
  <c r="I485" i="1"/>
  <c r="I468" i="1"/>
  <c r="I453" i="1"/>
  <c r="I437" i="1"/>
  <c r="I420" i="1"/>
  <c r="I405" i="1"/>
  <c r="I389" i="1"/>
  <c r="I371" i="1"/>
  <c r="I354" i="1"/>
  <c r="I336" i="1"/>
  <c r="I320" i="1"/>
  <c r="I300" i="1"/>
  <c r="I282" i="1"/>
  <c r="I262" i="1"/>
  <c r="I240" i="1"/>
  <c r="I218" i="1"/>
  <c r="I201" i="1"/>
  <c r="I179" i="1"/>
  <c r="I157" i="1"/>
  <c r="I138" i="1"/>
  <c r="I118" i="1"/>
  <c r="I96" i="1"/>
  <c r="I74" i="1"/>
  <c r="I57" i="1"/>
  <c r="I35" i="1"/>
  <c r="I13" i="1"/>
  <c r="I500" i="1"/>
  <c r="I482" i="1"/>
  <c r="I467" i="1"/>
  <c r="I452" i="1"/>
  <c r="I434" i="1"/>
  <c r="I419" i="1"/>
  <c r="I404" i="1"/>
  <c r="I386" i="1"/>
  <c r="I370" i="1"/>
  <c r="I353" i="1"/>
  <c r="I335" i="1"/>
  <c r="I318" i="1"/>
  <c r="I299" i="1"/>
  <c r="I278" i="1"/>
  <c r="I261" i="1"/>
  <c r="I239" i="1"/>
  <c r="I217" i="1"/>
  <c r="I198" i="1"/>
  <c r="I178" i="1"/>
  <c r="I156" i="1"/>
  <c r="I134" i="1"/>
  <c r="I117" i="1"/>
  <c r="I95" i="1"/>
  <c r="I73" i="1"/>
  <c r="I54" i="1"/>
  <c r="I34" i="1"/>
  <c r="I12" i="1"/>
  <c r="I314" i="1"/>
  <c r="I277" i="1"/>
  <c r="I238" i="1"/>
  <c r="I194" i="1"/>
  <c r="I177" i="1"/>
  <c r="I133" i="1"/>
  <c r="I94" i="1"/>
  <c r="I50" i="1"/>
  <c r="I33" i="1"/>
  <c r="I497" i="1"/>
  <c r="I480" i="1"/>
  <c r="I449" i="1"/>
  <c r="I417" i="1"/>
  <c r="I384" i="1"/>
  <c r="I368" i="1"/>
  <c r="I333" i="1"/>
  <c r="I297" i="1"/>
  <c r="I276" i="1"/>
  <c r="I237" i="1"/>
  <c r="I193" i="1"/>
  <c r="I154" i="1"/>
  <c r="I132" i="1"/>
  <c r="I93" i="1"/>
  <c r="I49" i="1"/>
  <c r="I10" i="1"/>
  <c r="I494" i="1"/>
  <c r="I479" i="1"/>
  <c r="I464" i="1"/>
  <c r="I446" i="1"/>
  <c r="I431" i="1"/>
  <c r="I416" i="1"/>
  <c r="I398" i="1"/>
  <c r="I383" i="1"/>
  <c r="I366" i="1"/>
  <c r="I348" i="1"/>
  <c r="I332" i="1"/>
  <c r="I312" i="1"/>
  <c r="I296" i="1"/>
  <c r="I275" i="1"/>
  <c r="I253" i="1"/>
  <c r="I234" i="1"/>
  <c r="I214" i="1"/>
  <c r="I192" i="1"/>
  <c r="I170" i="1"/>
  <c r="I153" i="1"/>
  <c r="I131" i="1"/>
  <c r="I109" i="1"/>
  <c r="I90" i="1"/>
  <c r="I70" i="1"/>
  <c r="I48" i="1"/>
  <c r="I26" i="1"/>
  <c r="I9" i="1"/>
  <c r="I298" i="1"/>
  <c r="I258" i="1"/>
  <c r="I216" i="1"/>
  <c r="I155" i="1"/>
  <c r="I114" i="1"/>
  <c r="I72" i="1"/>
  <c r="I11" i="1"/>
  <c r="I465" i="1"/>
  <c r="I432" i="1"/>
  <c r="I401" i="1"/>
  <c r="I349" i="1"/>
  <c r="I313" i="1"/>
  <c r="I254" i="1"/>
  <c r="I215" i="1"/>
  <c r="I174" i="1"/>
  <c r="I110" i="1"/>
  <c r="I71" i="1"/>
  <c r="I30" i="1"/>
  <c r="I493" i="1"/>
  <c r="I478" i="1"/>
  <c r="I462" i="1"/>
  <c r="I445" i="1"/>
  <c r="I430" i="1"/>
  <c r="I414" i="1"/>
  <c r="I397" i="1"/>
  <c r="I382" i="1"/>
  <c r="I362" i="1"/>
  <c r="I347" i="1"/>
  <c r="I330" i="1"/>
  <c r="I311" i="1"/>
  <c r="I294" i="1"/>
  <c r="I274" i="1"/>
  <c r="I252" i="1"/>
  <c r="I230" i="1"/>
  <c r="I213" i="1"/>
  <c r="I191" i="1"/>
  <c r="I169" i="1"/>
  <c r="I150" i="1"/>
  <c r="I130" i="1"/>
  <c r="I108" i="1"/>
  <c r="I86" i="1"/>
  <c r="I69" i="1"/>
  <c r="I47" i="1"/>
  <c r="I25" i="1"/>
  <c r="I6" i="1"/>
  <c r="I284" i="1"/>
  <c r="I272" i="1"/>
  <c r="I260" i="1"/>
  <c r="I248" i="1"/>
  <c r="I236" i="1"/>
  <c r="I224" i="1"/>
  <c r="I212" i="1"/>
  <c r="I200" i="1"/>
  <c r="I188" i="1"/>
  <c r="I176" i="1"/>
  <c r="I164" i="1"/>
  <c r="I152" i="1"/>
  <c r="I140" i="1"/>
  <c r="I128" i="1"/>
  <c r="I116" i="1"/>
  <c r="I104" i="1"/>
  <c r="I92" i="1"/>
  <c r="I80" i="1"/>
  <c r="I68" i="1"/>
  <c r="I56" i="1"/>
  <c r="I44" i="1"/>
  <c r="I32" i="1"/>
  <c r="I20" i="1"/>
  <c r="I8" i="1"/>
  <c r="I499" i="1"/>
  <c r="I487" i="1"/>
  <c r="I475" i="1"/>
  <c r="I463" i="1"/>
  <c r="I451" i="1"/>
  <c r="I439" i="1"/>
  <c r="I427" i="1"/>
  <c r="I415" i="1"/>
  <c r="I403" i="1"/>
  <c r="I391" i="1"/>
  <c r="I379" i="1"/>
  <c r="I367" i="1"/>
  <c r="I355" i="1"/>
  <c r="I343" i="1"/>
  <c r="I331" i="1"/>
  <c r="I319" i="1"/>
  <c r="I307" i="1"/>
  <c r="I295" i="1"/>
  <c r="I283" i="1"/>
  <c r="I271" i="1"/>
  <c r="I259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91" i="1"/>
  <c r="I79" i="1"/>
  <c r="I67" i="1"/>
  <c r="I55" i="1"/>
  <c r="I43" i="1"/>
  <c r="I31" i="1"/>
  <c r="I19" i="1"/>
  <c r="I7" i="1"/>
  <c r="I377" i="1"/>
  <c r="I365" i="1"/>
  <c r="I341" i="1"/>
  <c r="I329" i="1"/>
  <c r="I317" i="1"/>
  <c r="I293" i="1"/>
  <c r="I281" i="1"/>
  <c r="I257" i="1"/>
  <c r="I233" i="1"/>
  <c r="I209" i="1"/>
  <c r="I197" i="1"/>
  <c r="I173" i="1"/>
  <c r="I149" i="1"/>
  <c r="I125" i="1"/>
  <c r="I113" i="1"/>
  <c r="I89" i="1"/>
  <c r="I77" i="1"/>
  <c r="I53" i="1"/>
  <c r="I29" i="1"/>
  <c r="I5" i="1"/>
  <c r="I496" i="1"/>
  <c r="I484" i="1"/>
  <c r="I472" i="1"/>
  <c r="I460" i="1"/>
  <c r="I448" i="1"/>
  <c r="I436" i="1"/>
  <c r="I424" i="1"/>
  <c r="I412" i="1"/>
  <c r="I400" i="1"/>
  <c r="I388" i="1"/>
  <c r="I376" i="1"/>
  <c r="I364" i="1"/>
  <c r="I352" i="1"/>
  <c r="I340" i="1"/>
  <c r="I328" i="1"/>
  <c r="I316" i="1"/>
  <c r="I304" i="1"/>
  <c r="I292" i="1"/>
  <c r="I280" i="1"/>
  <c r="I268" i="1"/>
  <c r="I256" i="1"/>
  <c r="I244" i="1"/>
  <c r="I232" i="1"/>
  <c r="I220" i="1"/>
  <c r="I208" i="1"/>
  <c r="I196" i="1"/>
  <c r="I184" i="1"/>
  <c r="I172" i="1"/>
  <c r="I160" i="1"/>
  <c r="I148" i="1"/>
  <c r="I136" i="1"/>
  <c r="I124" i="1"/>
  <c r="I112" i="1"/>
  <c r="I100" i="1"/>
  <c r="I88" i="1"/>
  <c r="I76" i="1"/>
  <c r="I64" i="1"/>
  <c r="I52" i="1"/>
  <c r="I40" i="1"/>
  <c r="I28" i="1"/>
  <c r="I16" i="1"/>
  <c r="I4" i="1"/>
  <c r="I305" i="1"/>
  <c r="I269" i="1"/>
  <c r="I245" i="1"/>
  <c r="I221" i="1"/>
  <c r="I185" i="1"/>
  <c r="I161" i="1"/>
  <c r="I137" i="1"/>
  <c r="I101" i="1"/>
  <c r="I65" i="1"/>
  <c r="I41" i="1"/>
  <c r="I17" i="1"/>
  <c r="I495" i="1"/>
  <c r="I483" i="1"/>
  <c r="I471" i="1"/>
  <c r="I459" i="1"/>
  <c r="I447" i="1"/>
  <c r="I435" i="1"/>
  <c r="I423" i="1"/>
  <c r="I411" i="1"/>
  <c r="I399" i="1"/>
  <c r="I387" i="1"/>
  <c r="I375" i="1"/>
  <c r="I363" i="1"/>
  <c r="I351" i="1"/>
  <c r="I339" i="1"/>
  <c r="I327" i="1"/>
  <c r="I315" i="1"/>
  <c r="I303" i="1"/>
  <c r="I291" i="1"/>
  <c r="I279" i="1"/>
  <c r="I267" i="1"/>
  <c r="I25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J504" i="1" l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<sst xmlns="http://schemas.openxmlformats.org/spreadsheetml/2006/main" count="1045" uniqueCount="846">
  <si>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</si>
  <si>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</si>
  <si>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</si>
  <si>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</si>
  <si>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</si>
  <si>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</si>
  <si>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</si>
  <si>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</si>
  <si>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</si>
  <si>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</si>
  <si>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</si>
  <si>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</si>
  <si>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</si>
  <si>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</si>
  <si>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</si>
  <si>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</si>
  <si>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</si>
  <si>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</si>
  <si>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</si>
  <si>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</si>
  <si>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</si>
  <si>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</si>
  <si>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</si>
  <si>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</si>
  <si>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</si>
  <si>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</si>
  <si>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</si>
  <si>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</si>
  <si>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</si>
  <si>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</si>
  <si>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</si>
  <si>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</si>
  <si>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</si>
  <si>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</si>
  <si>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</si>
  <si>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</si>
  <si>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</si>
  <si>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</si>
  <si>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</si>
  <si>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</si>
  <si>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</si>
  <si>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</si>
  <si>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</si>
  <si>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</si>
  <si>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</si>
  <si>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</si>
  <si>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</si>
  <si>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</si>
  <si>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</si>
  <si>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</si>
  <si>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</si>
  <si>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</si>
  <si>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</si>
  <si>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</si>
  <si>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</si>
  <si>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</si>
  <si>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</si>
  <si>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</si>
  <si>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</si>
  <si>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</si>
  <si>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</si>
  <si>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</si>
  <si>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</si>
  <si>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</si>
  <si>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</si>
  <si>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</si>
  <si>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</si>
  <si>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</si>
  <si>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</si>
  <si>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</si>
  <si>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</si>
  <si>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</si>
  <si>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</si>
  <si>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</si>
  <si>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</si>
  <si>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</si>
  <si>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</si>
  <si>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</si>
  <si>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</si>
  <si>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</si>
  <si>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</si>
  <si>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</si>
  <si>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</si>
  <si>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</si>
  <si>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</si>
  <si>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</si>
  <si>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</si>
  <si>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</si>
  <si>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</si>
  <si>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</si>
  <si>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</si>
  <si>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</si>
  <si>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</si>
  <si>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</si>
  <si>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</si>
  <si>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</si>
  <si>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</si>
  <si>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</si>
  <si>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</si>
  <si>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</si>
  <si>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</si>
  <si>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</si>
  <si>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</si>
  <si>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</si>
  <si>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</si>
  <si>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</si>
  <si>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</si>
  <si>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</si>
  <si>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</si>
  <si>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</si>
  <si>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</si>
  <si>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</si>
  <si>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</si>
  <si>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</si>
  <si>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</si>
  <si>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</si>
  <si>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</si>
  <si>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</si>
  <si>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</si>
  <si>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</si>
  <si>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</si>
  <si>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</si>
  <si>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</si>
  <si>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</si>
  <si>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</si>
  <si>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</si>
  <si>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</si>
  <si>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</si>
  <si>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</si>
  <si>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</si>
  <si>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</si>
  <si>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</si>
  <si>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</si>
  <si>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</si>
  <si>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</si>
  <si>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</si>
  <si>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</si>
  <si>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</si>
  <si>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</si>
  <si>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</si>
  <si>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</si>
  <si>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</si>
  <si>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</si>
  <si>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</si>
  <si>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</si>
  <si>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</si>
  <si>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</si>
  <si>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</si>
  <si>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</si>
  <si>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</si>
  <si>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</si>
  <si>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</si>
  <si>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</si>
  <si>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</si>
  <si>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</si>
  <si>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</si>
  <si>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</si>
  <si>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</si>
  <si>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</si>
  <si>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</si>
  <si>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</si>
  <si>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</si>
  <si>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</si>
  <si>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</si>
  <si>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</si>
  <si>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</si>
  <si>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</si>
  <si>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</si>
  <si>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</si>
  <si>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</si>
  <si>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</si>
  <si>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</si>
  <si>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</si>
  <si>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</si>
  <si>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</si>
  <si>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</si>
  <si>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</si>
  <si>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</si>
  <si>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</si>
  <si>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</si>
  <si>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</si>
  <si>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</si>
  <si>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</si>
  <si>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</si>
  <si>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</si>
  <si>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</si>
  <si>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</si>
  <si>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</si>
  <si>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</si>
  <si>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</si>
  <si>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</si>
  <si>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</si>
  <si>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</si>
  <si>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</si>
  <si>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</si>
  <si>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</si>
  <si>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</si>
  <si>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</si>
  <si>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</si>
  <si>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</si>
  <si>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</si>
  <si>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</si>
  <si>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</si>
  <si>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</si>
  <si>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</si>
  <si>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</si>
  <si>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</si>
  <si>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</si>
  <si>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</si>
  <si>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</si>
  <si>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</si>
  <si>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</si>
  <si>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</si>
  <si>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</si>
  <si>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</si>
  <si>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</si>
  <si>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</si>
  <si>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</si>
  <si>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</si>
  <si>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</si>
  <si>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</si>
  <si>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</si>
  <si>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</si>
  <si>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</si>
  <si>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</si>
  <si>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</si>
  <si>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</si>
  <si>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</si>
  <si>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</si>
  <si>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</si>
  <si>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</si>
  <si>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</si>
  <si>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</si>
  <si>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</si>
  <si>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</si>
  <si>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</si>
  <si>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</si>
  <si>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</si>
  <si>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</si>
  <si>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</si>
  <si>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</si>
  <si>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</si>
  <si>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</si>
  <si>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</si>
  <si>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</si>
  <si>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</si>
  <si>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</si>
  <si>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</si>
  <si>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</si>
  <si>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</si>
  <si>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</si>
  <si>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</si>
  <si>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</si>
  <si>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</si>
  <si>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</si>
  <si>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</si>
  <si>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</si>
  <si>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</si>
  <si>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</si>
  <si>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</si>
  <si>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</si>
  <si>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</si>
  <si>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</si>
  <si>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</si>
  <si>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</si>
  <si>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</si>
  <si>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</si>
  <si>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</si>
  <si>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</si>
  <si>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</si>
  <si>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</si>
  <si>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</si>
  <si>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</si>
  <si>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</si>
  <si>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</si>
  <si>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</si>
  <si>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</si>
  <si>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</si>
  <si>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</si>
  <si>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</si>
  <si>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</si>
  <si>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</si>
  <si>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</si>
  <si>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</si>
  <si>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</si>
  <si>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</si>
  <si>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</si>
  <si>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</si>
  <si>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</si>
  <si>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</si>
  <si>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</si>
  <si>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</si>
  <si>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</si>
  <si>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</si>
  <si>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</si>
  <si>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</si>
  <si>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</si>
  <si>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</si>
  <si>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</si>
  <si>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</si>
  <si>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</si>
  <si>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</si>
  <si>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</si>
  <si>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</si>
  <si>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</si>
  <si>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</si>
  <si>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</si>
  <si>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</si>
  <si>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</si>
  <si>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</si>
  <si>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</si>
  <si>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</si>
  <si>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</si>
  <si>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</si>
  <si>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</si>
  <si>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</si>
  <si>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</si>
  <si>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</si>
  <si>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</si>
  <si>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</si>
  <si>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</si>
  <si>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</si>
  <si>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</si>
  <si>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</si>
  <si>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</si>
  <si>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</si>
  <si>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</si>
  <si>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</si>
  <si>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</si>
  <si>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</si>
  <si>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</si>
  <si>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</si>
  <si>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</si>
  <si>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</si>
  <si>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</si>
  <si>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</si>
  <si>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</si>
  <si>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</si>
  <si>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</si>
  <si>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</si>
  <si>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</si>
  <si>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</si>
  <si>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</si>
  <si>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</si>
  <si>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</si>
  <si>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</si>
  <si>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</si>
  <si>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</si>
  <si>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</si>
  <si>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</si>
  <si>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</si>
  <si>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</si>
  <si>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</si>
  <si>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</si>
  <si>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</si>
  <si>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</si>
  <si>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</si>
  <si>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</si>
  <si>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</si>
  <si>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</si>
  <si>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</si>
  <si>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</si>
  <si>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</si>
  <si>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</si>
  <si>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</si>
  <si>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</si>
  <si>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</si>
  <si>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</si>
  <si>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</si>
  <si>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</si>
  <si>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</si>
  <si>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</si>
  <si>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</si>
  <si>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</si>
  <si>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</si>
  <si>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</si>
  <si>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</si>
  <si>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</si>
  <si>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</si>
  <si>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</si>
  <si>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</si>
  <si>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</si>
  <si>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</si>
  <si>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</si>
  <si>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</si>
  <si>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</si>
  <si>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</si>
  <si>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</si>
  <si>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</si>
  <si>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</si>
  <si>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</si>
  <si>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</si>
  <si>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</si>
  <si>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</si>
  <si>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</si>
  <si>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</si>
  <si>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</si>
  <si>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</si>
  <si>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</si>
  <si>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</si>
  <si>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</si>
  <si>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</si>
  <si>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</si>
  <si>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</si>
  <si>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</si>
  <si>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</si>
  <si>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</si>
  <si>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</si>
  <si>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</si>
  <si>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</si>
  <si>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</si>
  <si>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</si>
  <si>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</si>
  <si>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</si>
  <si>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</si>
  <si>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</si>
  <si>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</si>
  <si>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</si>
  <si>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</si>
  <si>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</si>
  <si>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</si>
  <si>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</si>
  <si>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</si>
  <si>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</si>
  <si>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</si>
  <si>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</si>
  <si>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</si>
  <si>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</si>
  <si>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</si>
  <si>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</si>
  <si>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</si>
  <si>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</si>
  <si>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</si>
  <si>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</si>
  <si>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</si>
  <si>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</si>
  <si>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</si>
  <si>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</si>
  <si>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</si>
  <si>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</si>
  <si>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</si>
  <si>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</si>
  <si>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</si>
  <si>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</si>
  <si>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</si>
  <si>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</si>
  <si>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</si>
  <si>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</si>
  <si>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</si>
  <si>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</si>
  <si>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</si>
  <si>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</si>
  <si>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</si>
  <si>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</si>
  <si>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</si>
  <si>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</si>
  <si>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</si>
  <si>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</si>
  <si>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</si>
  <si>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</si>
  <si>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</si>
  <si>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</si>
  <si>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</si>
  <si>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</si>
  <si>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</si>
  <si>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</si>
  <si>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</si>
  <si>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</si>
  <si>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</si>
  <si>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</si>
  <si>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축산물 위생관리법 시행령(대통령령) 제12조의7(축산물의 포장 등)</t>
  </si>
  <si>
    <t>수입식품안전관리 특별법(법률) 제6조(해외제조업소의 현지실사)</t>
  </si>
  <si>
    <t>수입식품안전관리 특별법 시행규칙(총리령) 제49조(정보수집요원 운영)</t>
  </si>
  <si>
    <t>식품위생법 시행령(대통령령) 제25조(영업신고를 하여야 하는 업종)</t>
  </si>
  <si>
    <t>식품위생법 시행령(대통령령) 제27조(식품위생교육의 대상)</t>
  </si>
  <si>
    <t>가축전염병 예방법(법률) 제4조(가축방역심의회)</t>
  </si>
  <si>
    <t>축산물 위생관리법(법률) 제42조(공중위생상 위해 시의 조치)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</si>
  <si>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</si>
  <si>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</si>
  <si>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</si>
  <si>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</si>
  <si>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예방법(법률) 제3조의2(가축전염병 발생 현황에 대한 정보공개)</t>
  </si>
  <si>
    <t>가축전염병 예방법(법률) 제52조의4(가축전염병 안내교육)</t>
  </si>
  <si>
    <t>가축전염병 예방법 시행규칙(농림축산식품부령) 제3조의3(가축전염병 발생 현황에 대한 정보공개)</t>
  </si>
  <si>
    <t>가축전염병 예방법 시행규칙(농림축산식품부령) 제47조의2(정보 제공 대상 등)</t>
  </si>
  <si>
    <t>가축전염병 예방법 시행령(대통령령) 제2조의3(검역 및 방역 시설 설치운영)</t>
  </si>
  <si>
    <t>농약관리법(법률) 제3조의2(영업의 신고)</t>
  </si>
  <si>
    <t>농약관리법 시행규칙(농림축산식품부령) 제16조(품목의 재등록신청 등)</t>
  </si>
  <si>
    <t>농약관리법(법률) 제17조(수입농약 등의 등록 등)</t>
  </si>
  <si>
    <t>농약관리법 시행규칙(농림축산식품부령) 제24조의5(농약안전정보시스템의 구축운영에 관한 세부사항)</t>
  </si>
  <si>
    <t>농약관리법(법률) 제7조(등록의 취소 등)</t>
  </si>
  <si>
    <t>먹는물관리법(법률) 제21조(영업의 허가 등)</t>
  </si>
  <si>
    <t>먹는물관리법 시행령(대통령령) 제3조(샘물 또는 염지하수의 개발허가 대상)</t>
  </si>
  <si>
    <t>먹는물관리법 시행규칙(환경부령) 제38조의3(먹는물관련영업자의 먹는샘물등의 회수 등)</t>
  </si>
  <si>
    <t>먹는물관리법 시행규칙(환경부령) 제3조(샘물등의 개발허가)</t>
  </si>
  <si>
    <t>먹는물관리법(법률) 제8조의2(냉온수기 또는 정수기의 설치관리)</t>
  </si>
  <si>
    <t>먹는물관리법 시행령(대통령령) 제6조(품질관리인의 자격기준)</t>
  </si>
  <si>
    <t>먹는물관리법 시행규칙(환경부령) 제33조(자가 품질 검사)</t>
  </si>
  <si>
    <t>먹는물관리법 시행규칙(환경부령) 제11조(휴업 등의 신고)</t>
  </si>
  <si>
    <t>사료관리법 시행규칙(농림축산식품부령) 제5조(제조업의 등록)</t>
  </si>
  <si>
    <t>사료관리법 시행규칙(농림축산식품부령) 제16조(위해요소중점관리기준 적용 사료공장의 지정신청 등)</t>
  </si>
  <si>
    <t>사료관리법 시행규칙(농림축산식품부령) 제29조(사료검정기관의 지정 등)</t>
  </si>
  <si>
    <t>사료관리법(법률) 제19조(사료의 수입신고 등)</t>
  </si>
  <si>
    <t>사료관리법 시행규칙(농림축산식품부령) 제3조(수출목적으로 제조한 사료에 대한 적용 배제)</t>
  </si>
  <si>
    <t>사료관리법(법률) 제11조(사료의 공정 등)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</si>
  <si>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</si>
  <si>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</si>
  <si>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식품ㆍ의약품분야 시험ㆍ검사 등에 관한 법률(법률) 제22조(보고와 출입 등)</t>
  </si>
  <si>
    <t>식품ㆍ의약품분야 시험ㆍ검사 등에 관한 법률 시행규칙(총리령) 제2조(시험검사기관의 지정)</t>
  </si>
  <si>
    <t>식품ㆍ의약품분야 시험ㆍ검사 등에 관한 법률 시행규칙(총리령) 제26조의2(시험검사 능력 평가 및 관리)</t>
  </si>
  <si>
    <t>건강기능식품에 관한 법률 시행규칙(총리령) 제8조(품목제조신고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</si>
  <si>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</si>
  <si>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</si>
  <si>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제15조(품질관리인의 수)</t>
  </si>
  <si>
    <t>건강기능식품에 관한 법률(법률) 제12조의2(품질관리인의 변경명령)</t>
  </si>
  <si>
    <t>건강기능식품에 관한 법률 시행규칙(총리령) 제16조의2(품질관리인의 직무 수행내역 등 기록보관)</t>
  </si>
  <si>
    <t>건강기능식품에 관한 법률 시행규칙(총리령) 제5조(영업의 신고 등)</t>
  </si>
  <si>
    <t>한국식품안전관리인증원의 설립 및 운영에 관한 법률 시행령(대통령령) 제3조(사업계획서 등의 제출)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</si>
  <si>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</si>
  <si>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</si>
  <si>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한국식품안전관리인증원의 설립 및 운영에 관한 법률(법률) 제15조(비밀엄수의 의무)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</si>
  <si>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</si>
  <si>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</si>
  <si>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</si>
  <si>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</si>
  <si>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</si>
  <si>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</si>
  <si>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</si>
  <si>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</si>
  <si>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</si>
  <si>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</si>
  <si>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</si>
  <si>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</si>
  <si>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</si>
  <si>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</si>
  <si>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</si>
  <si>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</si>
  <si>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</si>
  <si>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</si>
  <si>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</si>
  <si>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</si>
  <si>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</si>
  <si>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</si>
  <si>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</si>
  <si>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</si>
  <si>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 시행규칙(농림축산식품부령) 제3조(가축전염병 예찰)</t>
  </si>
  <si>
    <t>가축전염병 예방법(법률) 제19조(격리와 가축사육시설의 폐쇄명령 등)</t>
  </si>
  <si>
    <t>가축전염병 예방법(법률) 제5조(가축의 소유자등의 방역 및 검역 의무)</t>
  </si>
  <si>
    <t>가축전염병 예방법 시행령(대통령령) 제2조의5(가축전염병 발생 국가에서 입국 시 제출할 서류)</t>
  </si>
  <si>
    <t>가축전염병 예방법(법률) 제52조의3(정보 제공 요청 등)</t>
  </si>
  <si>
    <t>가축전염병 예방법 시행령(대통령령) 제6조(가축사육시설의 폐쇄명령 등)</t>
  </si>
  <si>
    <t>가축전염병 예방법 시행규칙(농림축산식품부령) 제4조(사육제한 명령 등)</t>
  </si>
  <si>
    <t>가축전염병 예방법 시행규칙(농림축산식품부령) 제3조의4(국가가축방역통합정보시스템의 구축운영)</t>
  </si>
  <si>
    <t>가축전염병 예방법(법률) 제3조의3(국가가축방역통합정보시스템의 구축운영)</t>
  </si>
  <si>
    <t>가축전염병 예방법(법률) 제3조의4(중점방역관리지구)</t>
  </si>
  <si>
    <t>가축전염병 예방법 시행규칙(농림축산식품부령) 제3조의5(중점방역관리지구 지정 등)</t>
  </si>
  <si>
    <t>가축전염병 예방법(법률) 제48조의2(폐업 등의 지원)</t>
  </si>
  <si>
    <t>가축전염병 예방법 시행규칙(농림축산식품부령) 제5조(심의회의 구성 및 운영)</t>
  </si>
  <si>
    <t>가축전염병 예방법 시행규칙(농림축산식품부령) 제7조(심의회의 간사 등)</t>
  </si>
  <si>
    <t>가축전염병 예방법 시행규칙(농림축산식품부령) 제7조의5(방역관리 책임자)</t>
  </si>
  <si>
    <t>가축전염병 예방법 시행령(대통령령) 제3조의2(가축전염병기동방역기구의 설치 등)</t>
  </si>
  <si>
    <t>가축전염병 예방법(법률) 제17조(소독설비방역시설 구비 및 소독 실시 등)</t>
  </si>
  <si>
    <t>농약관리법(법률) 제3조(영업의 등록 등)</t>
  </si>
  <si>
    <t>농약관리법(법률) 제29조(청문)</t>
  </si>
  <si>
    <t>농약관리법(법률) 제35조(벌칙)</t>
  </si>
  <si>
    <t>농약관리법(법률) 제9조(품목등록 신청서류 등의 검토 등)</t>
  </si>
  <si>
    <t>농약관리법 시행규칙(농림축산식품부령) 제5조의3(행정정보의 공동이용)</t>
  </si>
  <si>
    <t>농약관리법(법률) 제17조의3(제품등록의 유효기간 및 재등록)</t>
  </si>
  <si>
    <t>농약관리법(법률) 제11조(품목등록의 유효기간 및 재등록)</t>
  </si>
  <si>
    <t>농약관리법(법률) 제14조의2(직권 이외의 사유에 의한 품목등록의 취소 등)</t>
  </si>
  <si>
    <t>농약관리법 시행규칙(농림축산식품부령) 제7조(제조업자 등의 지위승계 신고)</t>
  </si>
  <si>
    <t>농약관리법(법률) 제5조(제조업자 등의 지위승계)</t>
  </si>
  <si>
    <t>농약관리법 시행규칙(농림축산식품부령) 제6조(제조업등의 인력시설 및 장비 등의 기준)</t>
  </si>
  <si>
    <t>농약관리법 시행규칙(농림축산식품부령) 제6조의2(수출입식물방제업 등의 인력시설장비 등의 기준)</t>
  </si>
  <si>
    <t>농약관리법(법률) 제31조(권한의 위임위탁)</t>
  </si>
  <si>
    <t>농약관리법(법률) 제5조의2(행정처분 효과의 승계)</t>
  </si>
  <si>
    <t>먹는물관리법 시행규칙(환경부령) 제16조(수입신고 등)</t>
  </si>
  <si>
    <t>먹는물관리법 시행규칙(환경부령) 제4조(샘물등의 개발의 임시 허가)</t>
  </si>
  <si>
    <t>먹는물관리법 시행규칙(환경부령) 제6조(샘물등의 개발허가의 유효기간 연장허가)</t>
  </si>
  <si>
    <t>먹는물관리법(법률) 제10조(샘물등의 개발의 임시 허가)</t>
  </si>
  <si>
    <t>먹는물관리법 시행규칙(환경부령) 제2조(먹는물공동시설의 관리)</t>
  </si>
  <si>
    <t>먹는물관리법(법률) 제8조(먹는물공동시설의 관리)</t>
  </si>
  <si>
    <t>먹는물관리법 시행령(대통령령) 제19조(과징금 산정기준)</t>
  </si>
  <si>
    <t>먹는물관리법(법률) 제51조(과징금 처분)</t>
  </si>
  <si>
    <t>먹는물관리법 시행규칙(환경부령) 제43조(과징금의 부과처분 등)</t>
  </si>
  <si>
    <t>먹는물관리법 시행령(대통령령) 제18조(과징금의 납부)</t>
  </si>
  <si>
    <t>먹는물관리법(법률) 제27조(품질관리인)</t>
  </si>
  <si>
    <t>먹는물관리법(법률) 제28조(품질관리교육)</t>
  </si>
  <si>
    <t>먹는물관리법 시행규칙(환경부령) 제17조(품질관리교육)</t>
  </si>
  <si>
    <t>먹는물관리법 시행규칙(환경부령) 제18조(교육과정 등)</t>
  </si>
  <si>
    <t>먹는물관리법 시행규칙(환경부령) 제36조의3(검사기관 기술인력 교육)</t>
  </si>
  <si>
    <t>먹는물관리법 시행규칙(환경부령) 제13조(조건부 영업허가)</t>
  </si>
  <si>
    <t>먹는물관리법(법률) 제23조(조건부 영업허가)</t>
  </si>
  <si>
    <t>먹는물관리법(법률) 제24조(영업허가 등의 제한)</t>
  </si>
  <si>
    <t>먹는물관리법(법률) 제25조(영업의 승계)</t>
  </si>
  <si>
    <t>먹는물관리법 시행규칙(환경부령) 제15조(영업의 승계)</t>
  </si>
  <si>
    <t>먹는물관리법(법률) 제46조(폐쇄조치 등)</t>
  </si>
  <si>
    <t>먹는물관리법 시행규칙(환경부령) 제40조(사업장의 영업정지처분의 게시)</t>
  </si>
  <si>
    <t>사료관리법 시행규칙(농림축산식품부령) 제12조(사료성분의 등록 등)</t>
  </si>
  <si>
    <t>사료관리법(법률) 제12조(사료의 성분등록 및 취소)</t>
  </si>
  <si>
    <t>사료관리법 시행규칙(농림축산식품부령) 제20조(사료의 수입신고)</t>
  </si>
  <si>
    <t>사료관리법(법률) 제13조(사료의 표시사항)</t>
  </si>
  <si>
    <t>사료관리법 시행규칙(농림축산식품부령) 제14조(사료의 표시사항)</t>
  </si>
  <si>
    <t>사료관리법(법률) 제7조(사료의 용도 외 판매금지)</t>
  </si>
  <si>
    <t>사료관리법 시행령(대통령령) 제4조(사료공장의 위해요소중점관리 담당기관 지정 등)</t>
  </si>
  <si>
    <t>사료관리법 시행규칙(농림축산식품부령) 제18조(위해요소중점관리기준 적용 사료공장의 지정취소 등)</t>
  </si>
  <si>
    <t>사료관리법(법률) 제4조(적용 배제)</t>
  </si>
  <si>
    <t>사료관리법 시행규칙(농림축산식품부령) 제4조(사료의 용도)</t>
  </si>
  <si>
    <t>사료관리법(법률) 제20조(자가품질검사)</t>
  </si>
  <si>
    <t>사료관리법 시행규칙(농림축산식품부령) 제21조(자가품질검사)</t>
  </si>
  <si>
    <t>사료관리법 시행규칙(농림축산식품부령) 제30조(검정방법 등)</t>
  </si>
  <si>
    <t>사료관리법 시행규칙(농림축산식품부령) 제32조(사료의 재검사 등)</t>
  </si>
  <si>
    <t>사료관리법 시행규칙(농림축산식품부령) 제23조(사료검사의 종류)</t>
  </si>
  <si>
    <t>사료관리법(법률) 제21조(사료검사)</t>
  </si>
  <si>
    <t>사료관리법 시행규칙(농림축산식품부령) 제25조(사료의 검사방법 등)</t>
  </si>
  <si>
    <t>사료관리법 시행규칙(농림축산식품부령) 제24조(출입검사 등)</t>
  </si>
  <si>
    <t>사료관리법 시행규칙(농림축산식품부령) 제7조(시설 변경의 신고범위 등)</t>
  </si>
  <si>
    <t>사료관리법 시행규칙(농림축산식품부령) 제11조(사료공정의 설정 절차 등)</t>
  </si>
  <si>
    <t>축산물 위생관리법 시행규칙(총리령) 제6조(위생관리기준 등)</t>
  </si>
  <si>
    <t>축산물 위생관리법(법률) 제8조(위생관리기준)</t>
  </si>
  <si>
    <t>축산물 위생관리법 시행규칙(총리령) 제7조의4(영업자 등에 대한 교육훈련)</t>
  </si>
  <si>
    <t>축산물 위생관리법 시행규칙(총리령) 제49조(교육의 시기 및 방법 등)</t>
  </si>
  <si>
    <t>축산물 위생관리법(법률) 제4조(축산물의 기준 및 규격)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</si>
  <si>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</si>
  <si>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</si>
  <si>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제10조(간사)</t>
  </si>
  <si>
    <t>축산물 위생관리법 시행령(대통령령) 제6조의3(위원의 제척기피회피)</t>
  </si>
  <si>
    <t>축산물 위생관리법 시행령(대통령령) 제6조의2(위원의 해촉)</t>
  </si>
  <si>
    <t>축산물 위생관리법 시행규칙(총리령) 제61조(벌칙에서 제외되는 자)</t>
  </si>
  <si>
    <t>축산물 위생관리법 시행령(대통령령) 제16조(책임수의사의 지정해제 등)</t>
  </si>
  <si>
    <t>축산물 위생관리법 시행령(대통령령) 제31조(권한 또는 업무의 위임위탁)</t>
  </si>
  <si>
    <t>축산물 위생관리법(법률) 제2조(정의)</t>
  </si>
  <si>
    <t>축산물 위생관리법 시행령(대통령령) 제2조(가축의 범위 등)</t>
  </si>
  <si>
    <t>축산물 위생관리법 시행규칙(총리령) 제53조(판매 등이 허용되는 축산물)</t>
  </si>
  <si>
    <t>축산물 위생관리법(법률) 제10조(부정행위의 금지)</t>
  </si>
  <si>
    <t>축산물 위생관리법 시행규칙(총리령) 제5조(도축장 외의 장소에서 도살처리한 가축의 신고 등)</t>
  </si>
  <si>
    <t>식품ㆍ의약품분야 시험ㆍ검사 등에 관한 법률 시행규칙(총리령) 제5조(시험검사기관 지정 유효기간의 연장)</t>
  </si>
  <si>
    <t>식품ㆍ의약품분야 시험ㆍ검사 등에 관한 법률(법률) 제7조(시험검사기관 지정의 유효기간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</si>
  <si>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</si>
  <si>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</si>
  <si>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 시행규칙(총리령) 제4조(시험검사기관의 지정사항 변경)</t>
  </si>
  <si>
    <t>식품ㆍ의약품분야 시험ㆍ검사 등에 관한 법률 시행규칙(총리령) 제9조(시험검사기관의 지위 승계 신고)</t>
  </si>
  <si>
    <t>식품ㆍ의약품분야 시험ㆍ검사 등에 관한 법률 시행규칙(총리령) 제17조(우수시험검사기관의 변경지정)</t>
  </si>
  <si>
    <t>식품ㆍ의약품분야 시험ㆍ검사 등에 관한 법률(법률) 제9조(시험검사기관의 승계)</t>
  </si>
  <si>
    <t>식품ㆍ의약품분야 시험ㆍ검사 등에 관한 법률(법률) 제8조(국외시험검사기관의 지정 등)</t>
  </si>
  <si>
    <t>식품ㆍ의약품분야 시험ㆍ검사 등에 관한 법률 시행규칙(총리령) 제16조(우수시험검사기관의 지정 등)</t>
  </si>
  <si>
    <t>식품ㆍ의약품분야 시험ㆍ검사 등에 관한 법률 시행규칙(총리령) 제22조(시험검사인력 등의 교육기관 지정)</t>
  </si>
  <si>
    <t>식품ㆍ의약품분야 시험ㆍ검사 등에 관한 법률(법률) 제18조(교육기관)</t>
  </si>
  <si>
    <t>식품ㆍ의약품분야 시험ㆍ검사 등에 관한 법률(법률) 제17조(교육)</t>
  </si>
  <si>
    <t>식품ㆍ의약품분야 시험ㆍ검사 등에 관한 법률 시행규칙(총리령) 제10조(시험검사기관 등에 대한 행정처분 기준)</t>
  </si>
  <si>
    <t>식품ㆍ의약품분야 시험ㆍ검사 등에 관한 법률(법률) 제19조(폐쇄조치 등)</t>
  </si>
  <si>
    <t>식품ㆍ의약품분야 시험ㆍ검사 등에 관한 법률(법률) 제10조(시험검사기관의 지정취소 등)</t>
  </si>
  <si>
    <t>식품ㆍ의약품분야 시험ㆍ검사 등에 관한 법률(법률) 제11조(시험검사의 절차 등)</t>
  </si>
  <si>
    <t>식품ㆍ의약품분야 시험ㆍ검사 등에 관한 법률 시행규칙(총리령) 제12조(시험검사의 절차)</t>
  </si>
  <si>
    <t>식품ㆍ의약품분야 시험ㆍ검사 등에 관한 법률 시행규칙(총리령) 제13조(시험검사 실적의 보고)</t>
  </si>
  <si>
    <t>식품ㆍ의약품분야 시험ㆍ검사 등에 관한 법률 시행규칙(총리령) 제20조(시험검사 능력 평가 및 관리)</t>
  </si>
  <si>
    <t>식품ㆍ의약품분야 시험ㆍ검사 등에 관한 법률(법률) 제16조(시험검사 능력 평가 및 관리)</t>
  </si>
  <si>
    <t>건강기능식품에 관한 법률 시행규칙(총리령) 제3조(영업허가의 신청)</t>
  </si>
  <si>
    <t>건강기능식품에 관한 법률(법률) 제5조(영업의 허가 등)</t>
  </si>
  <si>
    <t>건강기능식품에 관한 법률 시행규칙(총리령) 제4조(허가사항의 변경)</t>
  </si>
  <si>
    <t>건강기능식품에 관한 법률(법률) 제7조(품목제조신고 등)</t>
  </si>
  <si>
    <t>건강기능식품에 관한 법률 시행규칙(총리령) 제14조(영업자의 지위승계신고)</t>
  </si>
  <si>
    <t>건강기능식품에 관한 법률 시행규칙(총리령) 제16조의4(맞춤형건강기능식품관리사의 선임해임신고)</t>
  </si>
  <si>
    <t>건강기능식품에 관한 법률 시행규칙(총리령) 제16조(품질관리인의 선임해임신고)</t>
  </si>
  <si>
    <t>건강기능식품에 관한 법률 시행령(대통령령) 제4조(품질관리인의 자격기준)</t>
  </si>
  <si>
    <t>건강기능식품에 관한 법률(법률) 제12조(품질관리인)</t>
  </si>
  <si>
    <t>건강기능식품에 관한 법률(법률) 제10조(영업자의 준수사항)</t>
  </si>
  <si>
    <t>건강기능식품에 관한 법률(법률) 제24조(기준규격 위반 건강기능식품의 판매 등의 금지)</t>
  </si>
  <si>
    <t>건강기능식품에 관한 법률 시행규칙(총리령) 제16조의3(맞춤형건강기능식품관리사의 수)</t>
  </si>
  <si>
    <t>건강기능식품에 관한 법률(법률) 제12조의3(맞춤형건강기능식품관리사)</t>
  </si>
  <si>
    <t>건강기능식품에 관한 법률 시행령(대통령령) 제5조(품질관리인의 준수사항)</t>
  </si>
  <si>
    <t>건강기능식품에 관한 법률(법률) 제14조(기준 및 규격)</t>
  </si>
  <si>
    <t>건강기능식품에 관한 법률(법률) 제11조(영업의 승계)</t>
  </si>
  <si>
    <t>수입식품안전관리 특별법 시행규칙(총리령) 제2조(해외제조업소의 등록 등)</t>
  </si>
  <si>
    <t>수입식품안전관리 특별법(법률) 제5조(해외제조업소 등록)</t>
  </si>
  <si>
    <t>수입식품안전관리 특별법(법률) 제5조의2(해외제조업소의 등록 취소 등)</t>
  </si>
  <si>
    <t>수입식품안전관리 특별법 시행규칙(총리령) 제3조(수입중단 조치 및 해제조치의 절차)</t>
  </si>
  <si>
    <t>수입식품안전관리 특별법(법률) 제23조(수입식품등의 유통이력추적관리)</t>
  </si>
  <si>
    <t>수입식품안전관리 특별법 시행규칙(총리령) 제4조(우수수입업소 등록 등)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</si>
  <si>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</si>
  <si>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</si>
  <si>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 시행령(대통령령) 제6조(행정응원의 절차 등)</t>
  </si>
  <si>
    <t>수입식품안전관리 특별법 시행령(대통령령) 제10조(과징금의 부과 및 납부 절차)</t>
  </si>
  <si>
    <t>수입식품안전관리 특별법 시행규칙(총리령) 제49조의3(자료 또는 정보의 제공 및 연계 요청)</t>
  </si>
  <si>
    <t>수입식품안전관리 특별법(법률) 제33조(영업정지 등의 처분을 갈음하여 부과하는 과징금 처분)</t>
  </si>
  <si>
    <t>수입식품안전관리 특별법 시행령(대통령령) 제11조(과징금 부과처분 취소 대상자 등)</t>
  </si>
  <si>
    <t>수입식품안전관리 특별법 시행령(대통령령) 제12조(위해 수입식품등의 판매 등에 따른 과징금의 산정기준 등)</t>
  </si>
  <si>
    <t>수입식품안전관리 특별법 시행규칙(총리령) 제9조(해외식품 위생평가기관 지정의 유효기간 연장 및 재지정)</t>
  </si>
  <si>
    <t>수입식품안전관리 특별법 시행규칙(총리령) 제7조(해외식품 위생평가기관의 지정 등)</t>
  </si>
  <si>
    <t>수입식품안전관리 특별법(법률) 제10조(해외식품 위생평가기관 지정 등)</t>
  </si>
  <si>
    <t>수입식품안전관리 특별법 시행규칙(총리령) 제8조(해외식품 위생평가기관의 변경지정 등)</t>
  </si>
  <si>
    <t>식품위생법 시행규칙(총리령) 제5조(식품등의 한시적 기준 및 규격의 인정 등)</t>
  </si>
  <si>
    <t>식품위생법(법률) 제7조(식품 또는 식품첨가물에 관한 기준 및 규격)</t>
  </si>
  <si>
    <t>식품위생법(법률) 제5조(병든 동물 고기 등의 판매 등 금지)</t>
  </si>
  <si>
    <t>식품위생법 시행규칙(총리령) 제4조(판매 등이 금지되는 병든 동물 고기 등)</t>
  </si>
  <si>
    <t>식품위생법(법률) 제93조(벌칙)</t>
  </si>
  <si>
    <t>식품위생법 시행령(대통령령) 제7조(위해식품등에 대한 긴급대응)</t>
  </si>
  <si>
    <t>식품위생법(법률) 제31조(자가품질검사 의무)</t>
  </si>
  <si>
    <t>식품위생법 시행규칙(총리령) 제31조의2(자가품질검사의무의 면제)</t>
  </si>
  <si>
    <t>식품위생법(법률) 제31조의3(자가품질검사의 확인검사)</t>
  </si>
  <si>
    <t>식품위생법(법률) 제31조의2(자가품질검사의무의 면제)</t>
  </si>
  <si>
    <t>식품위생법(법률) 제19조의4(검사명령 등)</t>
  </si>
  <si>
    <t>식품위생법(법률) 제44조(영업자 등의 준수사항)</t>
  </si>
  <si>
    <t>식품위생법 시행령(대통령령) 제20조(소비자 위생점검 참여 등)</t>
  </si>
  <si>
    <t>식품위생법 시행령(대통령령) 제9조(유전자변형식품등의 안전성 심사)</t>
  </si>
  <si>
    <t>식품위생법(법률) 제12조의2(유전자변형식품등의 표시)</t>
  </si>
  <si>
    <t>식품위생법 시행령(대통령령) 제26조의2(등록하여야 하는 영업)</t>
  </si>
  <si>
    <t>식품위생법 시행령(대통령령) 제21조(영업의 종류)</t>
  </si>
  <si>
    <t>식품위생법 시행규칙(총리령) 제42조(영업의 신고 등)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</si>
  <si>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</si>
  <si>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</si>
  <si>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</si>
  <si>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시행령(대통령령) 제50조(자율지도원의 임명 및 직무 등)</t>
  </si>
  <si>
    <t>식품위생법(법률) 제63조(자율지도원 등)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</si>
  <si>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</si>
  <si>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</si>
  <si>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</si>
  <si>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한국식품안전관리인증원의 설립 및 운영에 관한 법률(법률) 제13조(사업계획서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</si>
  <si>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</si>
  <si>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제5조(정관)</t>
  </si>
  <si>
    <t>한국식품안전관리인증원의 설립 및 운영에 관한 법률(법률) 제3조(설립등기)</t>
  </si>
  <si>
    <t>한국식품안전관리인증원의 설립 및 운영에 관한 법률(법률) 제8조(이사회)</t>
  </si>
  <si>
    <t>한국식품안전관리인증원의 설립 및 운영에 관한 법률(법률) 제19조(벌칙)</t>
  </si>
  <si>
    <t>한국식품안전관리인증원의 설립 및 운영에 관한 법률(법률) 제7조(임원)</t>
  </si>
  <si>
    <t>한국식품안전관리인증원의 설립 및 운영에 관한 법률(법률) 제10조(운영 재원)</t>
  </si>
  <si>
    <t>한국식품안전관리인증원의 설립 및 운영에 관한 법률(법률) 제9조(직원의 임면)</t>
  </si>
  <si>
    <t>한국식품안전관리인증원의 설립 및 운영에 관한 법률(법률) 제18조(벌칙 적용에서 공무원 의제)</t>
  </si>
  <si>
    <t>한국식품안전관리인증원의 설립 및 운영에 관한 법률(법률) 제17조(동일 명칭의 사용 금지)</t>
  </si>
  <si>
    <t>가축전염병 예방법 시행규칙(농림축산식품부령) 제7조의4(가축의 소유자등의 범위 및 입국출국 신고 등)</t>
  </si>
  <si>
    <t>사료관리법(법률) 제16조(위해요소중점관리기준)</t>
  </si>
  <si>
    <t>축산물 위생관리법 시행규칙(총리령) 제7조의3(안전관리인증작업장등의 인증신청 등)</t>
  </si>
  <si>
    <t>수입식품안전관리 특별법 시행령(대통령령) 제8조(폐쇄조치 절차의 예외)</t>
  </si>
  <si>
    <t>가축전염병 예방법(법률) 제52조의2(행정기관 간의 업무협조)</t>
  </si>
  <si>
    <t>가축전염병 예방법 시행규칙(농림축산식품부령) 제18조(가축방역업무의 공동실시)</t>
  </si>
  <si>
    <t>가축전염병 예방법(법률) 제14조(가축전염병 병원체 분리신고 및 보존관리)</t>
  </si>
  <si>
    <t>가축전염병 예방법(법률) 제15조의2(가축의 입식 사전 신고)</t>
  </si>
  <si>
    <t>가축전염병 예방법(법률) 제48조의3(가축전염병피해보상협의회 구성 등)</t>
  </si>
  <si>
    <t>가축전염병 예방법(법률) 제29조(명예가축방역감시원)</t>
  </si>
  <si>
    <t>가축전염병 예방법(법률) 제49조(생계안정 등 지원)</t>
  </si>
  <si>
    <t>가축전염병 예방법(법률) 제21조(도태의 권고 및 명령)</t>
  </si>
  <si>
    <t>가축전염병 예방법 시행령(대통령령) 제15조의2(고유식별정보의 처리)</t>
  </si>
  <si>
    <t>가축전염병 예방법(법률) 제7조(가축방역관)</t>
  </si>
  <si>
    <t>가축전염병 예방법 시행령(대통령령) 제3조(가축방역관을 두는 기관 등)</t>
  </si>
  <si>
    <t>가축전염병 예방법(법률) 제9조의2(가축전염병기동방역기구의 설치 등)</t>
  </si>
  <si>
    <t>가축전염병 예방법(법률) 제34조(수입을 위한 검역증명서의 첨부)</t>
  </si>
  <si>
    <t>농약관리법(법률) 제17조의2(농약활용기자재의 등록)</t>
  </si>
  <si>
    <t>농약관리법(법률) 제20조(농약등 및 원제의 표시)</t>
  </si>
  <si>
    <t>농약관리법(법률) 제17조의5(시험연구기관의 지정취소 등)</t>
  </si>
  <si>
    <t>농약관리법 시행규칙(농림축산식품부령) 제23조(농약등원제의 표시사항 및 가격 표시방법)</t>
  </si>
  <si>
    <t>농약관리법 시행규칙(농림축산식품부령) 제32조(규제의 재검토)</t>
  </si>
  <si>
    <t>농약관리법 시행규칙(농림축산식품부령) 제27조(유통 농약등 또는 원제의 검사계획수립 등)</t>
  </si>
  <si>
    <t>농약관리법(법률) 제24조(유통 농약 및 농약활용기자재의 검사 등)</t>
  </si>
  <si>
    <t>농약관리법(법률) 제26조(이의신청 특례)</t>
  </si>
  <si>
    <t>농약관리법(법률) 제13조(신청에 의한 품목변경등록 등)</t>
  </si>
  <si>
    <t>농약관리법 시행규칙(농림축산식품부령) 제22조의2(농약활용기자재 제품의 등록신청 등)</t>
  </si>
  <si>
    <t>농약관리법(법률) 제14조(직권에 의한 품목등록의 취소 등)</t>
  </si>
  <si>
    <t>농약관리법(법률) 제25조(농약등 또는 원제의 관리에 관한 보고 등)</t>
  </si>
  <si>
    <t>농약관리법 시행령(대통령령) 제21조의4(조정위원회 구성 등의 권한 위임)</t>
  </si>
  <si>
    <t>농약관리법 시행령(대통령령) 제22조의2(민감정보 및 고유식별정보의 처리)</t>
  </si>
  <si>
    <t>먹는물관리법(법률) 제38조(수출용 제품의 기준, 규격, 표시 기준)</t>
  </si>
  <si>
    <t>먹는물관리법(법률) 제41조(자가 품질 검사의 의무)</t>
  </si>
  <si>
    <t>먹는물관리법 시행규칙(환경부령) 제5조(자가 품질 검사 기준의 특례)</t>
  </si>
  <si>
    <t>먹는물관리법(법률) 제6조(먹는물 수질에 대한 공정시험 방법)</t>
  </si>
  <si>
    <t>먹는물관리법(법률) 제52조(국고보조)</t>
  </si>
  <si>
    <t>먹는물관리법 시행규칙(환경부령) 제4조의2(샘물등의 개발 임시 허가 변경신고)</t>
  </si>
  <si>
    <t>먹는물관리법(법률) 제53조(다른 법률과의 관계)</t>
  </si>
  <si>
    <t>먹는물관리법(법률) 제8조의5(샘물보전구역에서의 금지행위)</t>
  </si>
  <si>
    <t>먹는물관리법 시행규칙(환경부령) 제12조(샘물등의 수위수량수질 관리)</t>
  </si>
  <si>
    <t>먹는물관리법 시행규칙(환경부령) 제42조(과징금 부과 제외)</t>
  </si>
  <si>
    <t>먹는물관리법(법률) 제49조(행정처분 효과의 승계)</t>
  </si>
  <si>
    <t>먹는물관리법(법률) 제48조의2(영업정지처분 등 조치 명령)</t>
  </si>
  <si>
    <t>사료관리법 시행규칙(농림축산식품부령) 제40조(규제의 재검토)</t>
  </si>
  <si>
    <t>사료관리법 시행규칙(농림축산식품부령) 제6조(제조업의 시설기준)</t>
  </si>
  <si>
    <t>사료관리법(법률) 제28조(수수료 등)</t>
  </si>
  <si>
    <t>사료관리법 시행규칙(농림축산식품부령) 제10조(사료안전관리인의 직무)</t>
  </si>
  <si>
    <t>사료관리법 시행규칙(농림축산식품부령) 제17조(교육훈련 등)</t>
  </si>
  <si>
    <t>사료관리법 시행규칙(농림축산식품부령) 제15조(위해요소중점관리기준의 작성운용 등)</t>
  </si>
  <si>
    <t>사료관리법(법률) 제24조(폐기 등의 조치)</t>
  </si>
  <si>
    <t>사료관리법 시행령(대통령령) 제4조의2(위해사료 등의 공표)</t>
  </si>
  <si>
    <t>사료관리법(법률) 제2조(정의)</t>
  </si>
  <si>
    <t>사료관리법 시행규칙(농림축산식품부령) 제22조(사료시험검사기관의 지정)</t>
  </si>
  <si>
    <t>사료관리법(법률) 제20조의2(사료시험검사기관의 지정 등)</t>
  </si>
  <si>
    <t>축산물 위생관리법 시행규칙(총리령) 제58조(검사대상 가축외동물 및 검사의 신청)</t>
  </si>
  <si>
    <t>축산물 위생관리법 시행령(대통령령) 제12조의2(기립불능 가축 중 도축금지 대상)</t>
  </si>
  <si>
    <t>축산물 위생관리법(법률) 제33조의2(위해 평가)</t>
  </si>
  <si>
    <t>축산물 위생관리법 시행규칙(총리령) 제7조의6(조사평가의 방법 등)</t>
  </si>
  <si>
    <t>축산물 위생관리법(법률) 제39조(포상금)</t>
  </si>
  <si>
    <t>축산물 위생관리법(법률) 제9조의3(안전관리인증기준의 준수 여부 평가 등)</t>
  </si>
  <si>
    <t>축산물 위생관리법 시행령(대통령령) 제17조의2(검사관의 기준 업무량 등)</t>
  </si>
  <si>
    <t>축산물 위생관리법(법률) 제12조(축산물의 검사)</t>
  </si>
  <si>
    <t>축산물 위생관리법(법률) 제15조의2(수입판매 금지 등)</t>
  </si>
  <si>
    <t>축산물 위생관리법(법률) 제31조의2(위해 축산물의 회수 및 폐기 등)</t>
  </si>
  <si>
    <t>축산물 위생관리법 시행규칙(총리령) 제8조(가축 및 식육의 검사신청 등)</t>
  </si>
  <si>
    <t>축산물 위생관리법(법률) 제40조(보조금)</t>
  </si>
  <si>
    <t>축산물 위생관리법(법률) 제13조(검사관과 책임수의사)</t>
  </si>
  <si>
    <t>축산물 위생관리법 시행령(대통령령) 제7조(회의소집 및 의사결정)</t>
  </si>
  <si>
    <t>축산물 위생관리법(법률) 제44조(권한의 위임 및 위탁)</t>
  </si>
  <si>
    <t>축산물 위생관리법(법률) 제25조(품목 제조의 보고)</t>
  </si>
  <si>
    <t>축산물 위생관리법 시행규칙(총리령) 제9조(도축하는 가축 및 그 식육의 검사)</t>
  </si>
  <si>
    <t>식품ㆍ의약품분야 시험ㆍ검사 등에 관한 법률(법률) 제29조(양벌규정)</t>
  </si>
  <si>
    <t>식품ㆍ의약품분야 시험ㆍ검사 등에 관한 법률(법률) 제15조(시험검사의 운영체계 확립)</t>
  </si>
  <si>
    <t>식품ㆍ의약품분야 시험ㆍ검사 등에 관한 법률 시행규칙(총리령) 제25조의2(시험검사평가지도원의 자격 등)</t>
  </si>
  <si>
    <t>식품ㆍ의약품분야 시험ㆍ검사 등에 관한 법률 시행규칙(총리령) 제28조(규제의 재검토)</t>
  </si>
  <si>
    <t>식품ㆍ의약품분야 시험ㆍ검사 등에 관한 법률 시행규칙(총리령) 제8조의3(국외시험검사기관의 재지정)</t>
  </si>
  <si>
    <t>식품ㆍ의약품분야 시험ㆍ검사 등에 관한 법률(법률) 제22조의2(시험검사평가지도원)</t>
  </si>
  <si>
    <t>건강기능식품에 관한 법률(법률) 제22조(우수건강기능식품제조기준 등)</t>
  </si>
  <si>
    <t>건강기능식품에 관한 법률 시행령(대통령령) 제17조(허가취소 등의 처분시기)</t>
  </si>
  <si>
    <t>건강기능식품에 관한 법률 시행규칙(총리령) 제25조(자가품질검사)</t>
  </si>
  <si>
    <t>건강기능식품에 관한 법률(법률) 제22조의2(건강기능식품이력추적관리 등록기준 등)</t>
  </si>
  <si>
    <t>건강기능식품에 관한 법률(법률) 제28조(단체 설립)</t>
  </si>
  <si>
    <t>건강기능식품에 관한 법률 시행규칙(총리령) 제35조의2(규제의 재검토)</t>
  </si>
  <si>
    <t>건강기능식품에 관한 법률 시행규칙(총리령) 제25조의4(우수건강기능식품제조기준 등)</t>
  </si>
  <si>
    <t>건강기능식품에 관한 법률(법률) 제20조의2(소비자등의 위생검사등 요청)</t>
  </si>
  <si>
    <t>건강기능식품에 관한 법률(법률) 제34조(행정제재처분 효과의 승계)</t>
  </si>
  <si>
    <t>건강기능식품에 관한 법률(법률) 제40조(포상금 지급)</t>
  </si>
  <si>
    <t>건강기능식품에 관한 법률 시행규칙(총리령) 제20조의4(재평가의 기준방법 및 절차)</t>
  </si>
  <si>
    <t>수입식품안전관리 특별법 시행규칙(총리령) 제10조의2(특별위생관리식품의 수입위생평가 등)</t>
  </si>
  <si>
    <t>수입식품안전관리 특별법 시행규칙(총리령) 제44조의5(국내 반입차단 대상 원료성분의 지정 및 지정해제 절차)</t>
  </si>
  <si>
    <t>수입식품안전관리 특별법(법률) 제41조(수수료)</t>
  </si>
  <si>
    <t>수입식품안전관리 특별법 시행규칙(총리령) 제36조(유통이력추적관리 등록신청 등)</t>
  </si>
  <si>
    <t>수입식품안전관리 특별법 시행령(대통령령) 제13조(위반사실의 공표)</t>
  </si>
  <si>
    <t>수입식품안전관리 특별법 시행규칙(총리령) 제44조의7(직접구매 해외식품등에 대한 실태조사)</t>
  </si>
  <si>
    <t>수입식품안전관리 특별법(법률) 제25조(출입검사수거 등)</t>
  </si>
  <si>
    <t>수입식품안전관리 특별법(법률) 제30조(행정처분 효과의 승계)</t>
  </si>
  <si>
    <t>수입식품안전관리 특별법 시행령(대통령령) 제9조(영업정지 처분을 갈음하여 부과하는 과징금의 산정기준)</t>
  </si>
  <si>
    <t>수입식품안전관리 특별법(법률) 제43조(벌칙)</t>
  </si>
  <si>
    <t>수입식품안전관리 특별법 시행규칙(총리령) 제44조의2(직접구매 해외식품등에 관한 위해 정보 게시 방법 등)</t>
  </si>
  <si>
    <t>수입식품안전관리 특별법 시행규칙(총리령) 제50조(수수료)</t>
  </si>
  <si>
    <t>수입식품안전관리 특별법(법률) 제9조(현지실사 등 위탁)</t>
  </si>
  <si>
    <t>식품위생법 시행령(대통령령) 제4조(위해평가의 대상 등)</t>
  </si>
  <si>
    <t>식품위생법(법률) 제46조(식품등의 이물 발견보고 등)</t>
  </si>
  <si>
    <t>식품위생법 시행규칙(총리령) 제21조(식품등의 재검사 제외대상)</t>
  </si>
  <si>
    <t>식품위생법(법률) 제40조(건강진단)</t>
  </si>
  <si>
    <t>식품위생법 시행규칙(총리령) 제58조(회수대상 식품등의 기준)</t>
  </si>
  <si>
    <t>식품위생법 시행규칙(총리령) 제15조의8(검사명령 이행기한)</t>
  </si>
  <si>
    <t>식품위생법 시행령(대통령령) 제64조의2(정보공개)</t>
  </si>
  <si>
    <t>식품위생법 시행령(대통령령) 제32조(식품등의 오염사고의 보고 대상)</t>
  </si>
  <si>
    <t>식품위생법(법률) 제70조의7(건강 위해가능 영양성분 관리)</t>
  </si>
  <si>
    <t>식품위생법 시행규칙(총리령) 제35조(위생점검의 절차 및 결과 표시 등)</t>
  </si>
  <si>
    <t>식품위생법 시행령(대통령령) 제17조(식품위생감시원의 직무)</t>
  </si>
  <si>
    <t>식품위생법 시행규칙(총리령) 제48조(영업자 지위승계 신고)</t>
  </si>
  <si>
    <t>식품위생법 시행령(대통령령) 제17조의2(식품위생감시원의 교육)</t>
  </si>
  <si>
    <t>식품위생법 시행령(대통령령) 제40조(위원의 직무)</t>
  </si>
  <si>
    <t>식품위생법 시행령(대통령령) 제18조(소비자식품위생감시원의 자격 등)</t>
  </si>
  <si>
    <t>식품위생법(법률) 제41조의2(위생관리책임자)</t>
  </si>
  <si>
    <t>식품위생법 시행령(대통령령) 제38조(교육의 위탁)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</si>
</sst>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G488" zoomScale="55" zoomScaleNormal="55" workbookViewId="0">
      <selection activeCell="H510" sqref="H510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547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480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526</v>
      </c>
      <c r="E4" s="4" t="s">
        <v>545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530</v>
      </c>
      <c r="E5" s="4" t="s">
        <v>732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733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481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734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527</v>
      </c>
      <c r="E9" s="4" t="s">
        <v>735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529</v>
      </c>
      <c r="E10" s="4" t="s">
        <v>736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4" t="s">
        <v>737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7" t="s">
        <v>481</v>
      </c>
      <c r="F12" s="6" t="b">
        <f t="shared" si="0"/>
        <v>1</v>
      </c>
      <c r="G12" s="6">
        <f t="shared" si="1"/>
        <v>1</v>
      </c>
      <c r="H12" s="6" t="b">
        <f t="shared" si="2"/>
        <v>1</v>
      </c>
      <c r="I12" s="6">
        <f t="shared" si="3"/>
        <v>1</v>
      </c>
    </row>
    <row r="13" spans="1:12" ht="17.25" thickBot="1" x14ac:dyDescent="0.35">
      <c r="B13" s="4"/>
      <c r="C13" s="4" t="s">
        <v>122</v>
      </c>
      <c r="D13" s="4" t="s">
        <v>438</v>
      </c>
      <c r="E13" s="8" t="s">
        <v>483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2" ht="17.25" thickBot="1" x14ac:dyDescent="0.35">
      <c r="B14" s="4"/>
      <c r="C14" s="4"/>
      <c r="D14" s="4" t="s">
        <v>531</v>
      </c>
      <c r="E14" s="4" t="s">
        <v>549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484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482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1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546</v>
      </c>
      <c r="F17" s="6" t="b">
        <f t="shared" si="0"/>
        <v>1</v>
      </c>
      <c r="G17" s="6">
        <f t="shared" si="1"/>
        <v>1</v>
      </c>
      <c r="H17" s="6" t="b">
        <f t="shared" si="2"/>
        <v>1</v>
      </c>
      <c r="I17" s="6">
        <f t="shared" si="3"/>
        <v>1</v>
      </c>
    </row>
    <row r="18" spans="2:10" ht="17.25" thickBot="1" x14ac:dyDescent="0.35">
      <c r="B18" s="4"/>
      <c r="C18" s="4" t="s">
        <v>124</v>
      </c>
      <c r="D18" s="4" t="s">
        <v>124</v>
      </c>
      <c r="E18" s="4" t="s">
        <v>738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532</v>
      </c>
      <c r="E19" s="4" t="s">
        <v>739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528</v>
      </c>
      <c r="E20" s="8" t="s">
        <v>550</v>
      </c>
      <c r="F20" s="6" t="b">
        <f t="shared" si="0"/>
        <v>1</v>
      </c>
      <c r="G20" s="6">
        <f t="shared" si="1"/>
        <v>1</v>
      </c>
      <c r="H20" s="6" t="b">
        <f t="shared" si="2"/>
        <v>1</v>
      </c>
      <c r="I20" s="6">
        <f t="shared" si="3"/>
        <v>1</v>
      </c>
    </row>
    <row r="21" spans="2:10" ht="17.25" thickBot="1" x14ac:dyDescent="0.35">
      <c r="B21" s="5"/>
      <c r="C21" s="5"/>
      <c r="D21" s="5"/>
      <c r="E21" s="8" t="s">
        <v>551</v>
      </c>
      <c r="F21" s="6" t="b">
        <f t="shared" si="0"/>
        <v>0</v>
      </c>
      <c r="G21" s="6">
        <f t="shared" si="1"/>
        <v>0</v>
      </c>
      <c r="H21" s="6" t="b">
        <f t="shared" si="2"/>
        <v>1</v>
      </c>
      <c r="I21" s="6">
        <f t="shared" si="3"/>
        <v>1</v>
      </c>
      <c r="J21">
        <f t="shared" ref="J21" si="6">IF(hascolor(E17:E21,$L$5)=TRUE, 1, 0)</f>
        <v>1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552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126</v>
      </c>
      <c r="D23" s="4" t="s">
        <v>437</v>
      </c>
      <c r="E23" s="8" t="s">
        <v>553</v>
      </c>
      <c r="F23" s="6" t="b">
        <f t="shared" si="0"/>
        <v>1</v>
      </c>
      <c r="G23" s="6">
        <f t="shared" si="1"/>
        <v>1</v>
      </c>
      <c r="H23" s="6" t="b">
        <f t="shared" si="2"/>
        <v>1</v>
      </c>
      <c r="I23" s="6">
        <f t="shared" si="3"/>
        <v>1</v>
      </c>
    </row>
    <row r="24" spans="2:10" ht="17.25" thickBot="1" x14ac:dyDescent="0.35">
      <c r="B24" s="4"/>
      <c r="C24" s="4"/>
      <c r="D24" s="4"/>
      <c r="E24" s="4" t="s">
        <v>484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732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740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1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7" t="s">
        <v>554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</row>
    <row r="28" spans="2:10" ht="17.25" thickBot="1" x14ac:dyDescent="0.35">
      <c r="B28" s="4"/>
      <c r="C28" s="4" t="s">
        <v>128</v>
      </c>
      <c r="D28" s="4" t="s">
        <v>436</v>
      </c>
      <c r="E28" s="8" t="s">
        <v>555</v>
      </c>
      <c r="F28" s="6" t="b">
        <f t="shared" si="0"/>
        <v>1</v>
      </c>
      <c r="G28" s="6">
        <f t="shared" si="1"/>
        <v>1</v>
      </c>
      <c r="H28" s="6" t="b">
        <f t="shared" si="2"/>
        <v>1</v>
      </c>
      <c r="I28" s="6">
        <f t="shared" si="3"/>
        <v>1</v>
      </c>
    </row>
    <row r="29" spans="2:10" ht="17.25" thickBot="1" x14ac:dyDescent="0.35">
      <c r="B29" s="4"/>
      <c r="C29" s="4"/>
      <c r="D29" s="4"/>
      <c r="E29" s="4" t="s">
        <v>741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738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742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1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475</v>
      </c>
      <c r="F32" s="6" t="b">
        <f t="shared" si="0"/>
        <v>1</v>
      </c>
      <c r="G32" s="6">
        <f t="shared" si="1"/>
        <v>1</v>
      </c>
      <c r="H32" s="6" t="b">
        <f t="shared" si="2"/>
        <v>1</v>
      </c>
      <c r="I32" s="6">
        <f t="shared" si="3"/>
        <v>1</v>
      </c>
    </row>
    <row r="33" spans="2:10" ht="17.25" thickBot="1" x14ac:dyDescent="0.35">
      <c r="B33" s="4"/>
      <c r="C33" s="4"/>
      <c r="D33" s="4" t="s">
        <v>533</v>
      </c>
      <c r="E33" s="8" t="s">
        <v>557</v>
      </c>
      <c r="F33" s="6" t="b">
        <f t="shared" si="0"/>
        <v>1</v>
      </c>
      <c r="G33" s="6">
        <f t="shared" si="1"/>
        <v>1</v>
      </c>
      <c r="H33" s="6" t="b">
        <f t="shared" si="2"/>
        <v>1</v>
      </c>
      <c r="I33" s="6">
        <f t="shared" si="3"/>
        <v>1</v>
      </c>
    </row>
    <row r="34" spans="2:10" ht="17.25" thickBot="1" x14ac:dyDescent="0.35">
      <c r="B34" s="4"/>
      <c r="C34" s="4"/>
      <c r="D34" s="4" t="s">
        <v>534</v>
      </c>
      <c r="E34" s="4" t="s">
        <v>558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8" t="s">
        <v>555</v>
      </c>
      <c r="F35" s="6" t="b">
        <f t="shared" si="0"/>
        <v>0</v>
      </c>
      <c r="G35" s="6">
        <f t="shared" si="1"/>
        <v>0</v>
      </c>
      <c r="H35" s="6" t="b">
        <f t="shared" si="2"/>
        <v>1</v>
      </c>
      <c r="I35" s="6">
        <f t="shared" si="3"/>
        <v>1</v>
      </c>
    </row>
    <row r="36" spans="2:10" ht="17.25" thickBot="1" x14ac:dyDescent="0.35">
      <c r="B36" s="5"/>
      <c r="C36" s="5"/>
      <c r="D36" s="5"/>
      <c r="E36" s="4" t="s">
        <v>480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1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557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546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535</v>
      </c>
      <c r="E39" s="4" t="s">
        <v>743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8" t="s">
        <v>560</v>
      </c>
      <c r="F40" s="6" t="b">
        <f t="shared" si="0"/>
        <v>0</v>
      </c>
      <c r="G40" s="6">
        <f t="shared" si="1"/>
        <v>0</v>
      </c>
      <c r="H40" s="6" t="b">
        <f t="shared" si="2"/>
        <v>1</v>
      </c>
      <c r="I40" s="6">
        <f t="shared" si="3"/>
        <v>1</v>
      </c>
    </row>
    <row r="41" spans="2:10" ht="17.25" thickBot="1" x14ac:dyDescent="0.35">
      <c r="B41" s="5"/>
      <c r="C41" s="5"/>
      <c r="D41" s="5"/>
      <c r="E41" s="4" t="s">
        <v>559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1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7" t="s">
        <v>548</v>
      </c>
      <c r="F42" s="6" t="b">
        <f t="shared" si="0"/>
        <v>1</v>
      </c>
      <c r="G42" s="6">
        <f t="shared" si="1"/>
        <v>1</v>
      </c>
      <c r="H42" s="6" t="b">
        <f t="shared" si="2"/>
        <v>1</v>
      </c>
      <c r="I42" s="6">
        <f t="shared" si="3"/>
        <v>1</v>
      </c>
    </row>
    <row r="43" spans="2:10" ht="17.25" thickBot="1" x14ac:dyDescent="0.35">
      <c r="B43" s="4"/>
      <c r="C43" s="4" t="s">
        <v>463</v>
      </c>
      <c r="D43" s="4" t="s">
        <v>536</v>
      </c>
      <c r="E43" s="8" t="s">
        <v>547</v>
      </c>
      <c r="F43" s="6" t="b">
        <f t="shared" si="0"/>
        <v>1</v>
      </c>
      <c r="G43" s="6">
        <f t="shared" si="1"/>
        <v>1</v>
      </c>
      <c r="H43" s="6" t="b">
        <f t="shared" si="2"/>
        <v>1</v>
      </c>
      <c r="I43" s="6">
        <f t="shared" si="3"/>
        <v>1</v>
      </c>
    </row>
    <row r="44" spans="2:10" ht="17.25" thickBot="1" x14ac:dyDescent="0.35">
      <c r="B44" s="4"/>
      <c r="C44" s="4"/>
      <c r="D44" s="4"/>
      <c r="E44" s="4" t="s">
        <v>482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485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744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1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7" t="s">
        <v>554</v>
      </c>
      <c r="F47" s="6" t="b">
        <f t="shared" si="0"/>
        <v>1</v>
      </c>
      <c r="G47" s="6">
        <f t="shared" si="1"/>
        <v>1</v>
      </c>
      <c r="H47" s="6" t="b">
        <f t="shared" si="2"/>
        <v>1</v>
      </c>
      <c r="I47" s="6">
        <f t="shared" si="3"/>
        <v>1</v>
      </c>
    </row>
    <row r="48" spans="2:10" ht="17.25" thickBot="1" x14ac:dyDescent="0.35">
      <c r="B48" s="4"/>
      <c r="C48" s="4" t="s">
        <v>134</v>
      </c>
      <c r="D48" s="4" t="s">
        <v>436</v>
      </c>
      <c r="E48" s="8" t="s">
        <v>555</v>
      </c>
      <c r="F48" s="6" t="b">
        <f t="shared" si="0"/>
        <v>1</v>
      </c>
      <c r="G48" s="6">
        <f t="shared" si="1"/>
        <v>1</v>
      </c>
      <c r="H48" s="6" t="b">
        <f t="shared" si="2"/>
        <v>1</v>
      </c>
      <c r="I48" s="6">
        <f t="shared" si="3"/>
        <v>1</v>
      </c>
    </row>
    <row r="49" spans="1:13" ht="17.25" thickBot="1" x14ac:dyDescent="0.35">
      <c r="B49" s="4"/>
      <c r="C49" s="4"/>
      <c r="D49" s="4"/>
      <c r="E49" s="4" t="s">
        <v>728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556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561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1</v>
      </c>
      <c r="K51">
        <f>SUM(J2:J51)</f>
        <v>8</v>
      </c>
      <c r="M51">
        <f>SUM(I2:I51)</f>
        <v>17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745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8" t="s">
        <v>746</v>
      </c>
      <c r="F53" s="6" t="b">
        <f t="shared" si="0"/>
        <v>1</v>
      </c>
      <c r="G53" s="6">
        <f t="shared" si="1"/>
        <v>1</v>
      </c>
      <c r="H53" s="6" t="b">
        <f t="shared" si="2"/>
        <v>1</v>
      </c>
      <c r="I53" s="6">
        <f t="shared" si="3"/>
        <v>1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747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748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749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1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7" t="s">
        <v>563</v>
      </c>
      <c r="F57" s="6" t="b">
        <f t="shared" si="0"/>
        <v>1</v>
      </c>
      <c r="G57" s="6">
        <f t="shared" si="1"/>
        <v>1</v>
      </c>
      <c r="H57" s="6" t="b">
        <f t="shared" si="2"/>
        <v>1</v>
      </c>
      <c r="I57" s="6">
        <f t="shared" si="3"/>
        <v>1</v>
      </c>
    </row>
    <row r="58" spans="1:13" ht="17.25" thickBot="1" x14ac:dyDescent="0.35">
      <c r="B58" s="4"/>
      <c r="C58" s="4" t="s">
        <v>136</v>
      </c>
      <c r="D58" s="4" t="s">
        <v>307</v>
      </c>
      <c r="E58" s="8" t="s">
        <v>490</v>
      </c>
      <c r="F58" s="6" t="b">
        <f t="shared" si="0"/>
        <v>1</v>
      </c>
      <c r="G58" s="6">
        <f t="shared" si="1"/>
        <v>1</v>
      </c>
      <c r="H58" s="6" t="b">
        <f t="shared" si="2"/>
        <v>1</v>
      </c>
      <c r="I58" s="6">
        <f t="shared" si="3"/>
        <v>1</v>
      </c>
    </row>
    <row r="59" spans="1:13" ht="17.25" thickBot="1" x14ac:dyDescent="0.35">
      <c r="B59" s="4"/>
      <c r="C59" s="4"/>
      <c r="D59" s="4"/>
      <c r="E59" s="4" t="s">
        <v>750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489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749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1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562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486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747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564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751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7" t="s">
        <v>566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1</v>
      </c>
      <c r="I67" s="6">
        <f t="shared" ref="I67:I130" si="19">IF(H67, 1, 0)</f>
        <v>1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565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525</v>
      </c>
      <c r="E69" s="4" t="s">
        <v>752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488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753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1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567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568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8" t="s">
        <v>487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9"/>
        <v>1</v>
      </c>
    </row>
    <row r="75" spans="2:10" ht="17.25" thickBot="1" x14ac:dyDescent="0.35">
      <c r="B75" s="4"/>
      <c r="C75" s="4"/>
      <c r="D75" s="4"/>
      <c r="E75" s="4" t="s">
        <v>754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745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1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7" t="s">
        <v>565</v>
      </c>
      <c r="F77" s="6" t="b">
        <f t="shared" si="16"/>
        <v>1</v>
      </c>
      <c r="G77" s="6">
        <f t="shared" si="17"/>
        <v>1</v>
      </c>
      <c r="H77" s="6" t="b">
        <f t="shared" si="18"/>
        <v>1</v>
      </c>
      <c r="I77" s="6">
        <f t="shared" si="19"/>
        <v>1</v>
      </c>
    </row>
    <row r="78" spans="2:10" ht="17.25" thickBot="1" x14ac:dyDescent="0.35">
      <c r="B78" s="4"/>
      <c r="C78" s="4" t="s">
        <v>142</v>
      </c>
      <c r="D78" s="4" t="s">
        <v>433</v>
      </c>
      <c r="E78" s="4" t="s">
        <v>753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525</v>
      </c>
      <c r="E79" s="4" t="s">
        <v>752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8" t="s">
        <v>566</v>
      </c>
      <c r="F80" s="6" t="b">
        <f t="shared" si="16"/>
        <v>0</v>
      </c>
      <c r="G80" s="6">
        <f t="shared" si="17"/>
        <v>0</v>
      </c>
      <c r="H80" s="6" t="b">
        <f t="shared" si="18"/>
        <v>1</v>
      </c>
      <c r="I80" s="6">
        <f t="shared" si="19"/>
        <v>1</v>
      </c>
    </row>
    <row r="81" spans="2:10" ht="17.25" thickBot="1" x14ac:dyDescent="0.35">
      <c r="B81" s="5"/>
      <c r="C81" s="5"/>
      <c r="D81" s="5"/>
      <c r="E81" s="4" t="s">
        <v>568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1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563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575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489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8" t="s">
        <v>490</v>
      </c>
      <c r="F85" s="6" t="b">
        <f t="shared" si="16"/>
        <v>0</v>
      </c>
      <c r="G85" s="6">
        <f t="shared" si="17"/>
        <v>0</v>
      </c>
      <c r="H85" s="6" t="b">
        <f t="shared" si="18"/>
        <v>1</v>
      </c>
      <c r="I85" s="6">
        <f t="shared" si="19"/>
        <v>1</v>
      </c>
    </row>
    <row r="86" spans="2:10" ht="17.25" thickBot="1" x14ac:dyDescent="0.35">
      <c r="B86" s="5"/>
      <c r="C86" s="5"/>
      <c r="D86" s="5"/>
      <c r="E86" s="4" t="s">
        <v>569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1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570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8" t="s">
        <v>571</v>
      </c>
      <c r="F88" s="6" t="b">
        <f t="shared" si="16"/>
        <v>1</v>
      </c>
      <c r="G88" s="6">
        <f t="shared" si="17"/>
        <v>1</v>
      </c>
      <c r="H88" s="6" t="b">
        <f t="shared" si="18"/>
        <v>1</v>
      </c>
      <c r="I88" s="6">
        <f t="shared" si="19"/>
        <v>1</v>
      </c>
    </row>
    <row r="89" spans="2:10" ht="17.25" thickBot="1" x14ac:dyDescent="0.35">
      <c r="B89" s="4"/>
      <c r="E89" s="4" t="s">
        <v>755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569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745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1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7" t="s">
        <v>572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150</v>
      </c>
      <c r="D93" s="4" t="s">
        <v>435</v>
      </c>
      <c r="E93" s="8" t="s">
        <v>562</v>
      </c>
      <c r="F93" s="6" t="b">
        <f t="shared" si="16"/>
        <v>1</v>
      </c>
      <c r="G93" s="6">
        <f t="shared" si="17"/>
        <v>1</v>
      </c>
      <c r="H93" s="6" t="b">
        <f t="shared" si="18"/>
        <v>1</v>
      </c>
      <c r="I93" s="6">
        <f t="shared" si="19"/>
        <v>1</v>
      </c>
    </row>
    <row r="94" spans="2:10" ht="17.25" thickBot="1" x14ac:dyDescent="0.35">
      <c r="B94" s="4"/>
      <c r="C94" s="4"/>
      <c r="D94" s="4"/>
      <c r="E94" s="4" t="s">
        <v>573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486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756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1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574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9"/>
        <v>1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575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569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757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758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1</v>
      </c>
      <c r="K101">
        <f>SUM(J52:J101)</f>
        <v>9</v>
      </c>
      <c r="M101">
        <f>SUM(I52:I101)</f>
        <v>15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494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576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493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492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759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6" t="s">
        <v>760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497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761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762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763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578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8" t="s">
        <v>577</v>
      </c>
      <c r="F113" s="6" t="b">
        <f t="shared" si="16"/>
        <v>1</v>
      </c>
      <c r="G113" s="6">
        <f t="shared" si="17"/>
        <v>1</v>
      </c>
      <c r="H113" s="6" t="b">
        <f t="shared" si="18"/>
        <v>1</v>
      </c>
      <c r="I113" s="6">
        <f t="shared" si="19"/>
        <v>1</v>
      </c>
    </row>
    <row r="114" spans="2:10" ht="17.25" thickBot="1" x14ac:dyDescent="0.35">
      <c r="B114" s="4"/>
      <c r="C114" s="4"/>
      <c r="D114" s="4"/>
      <c r="E114" s="8" t="s">
        <v>579</v>
      </c>
      <c r="F114" s="6" t="b">
        <f t="shared" si="16"/>
        <v>0</v>
      </c>
      <c r="G114" s="6">
        <f t="shared" si="17"/>
        <v>0</v>
      </c>
      <c r="H114" s="6" t="b">
        <f t="shared" si="18"/>
        <v>1</v>
      </c>
      <c r="I114" s="6">
        <f t="shared" si="19"/>
        <v>1</v>
      </c>
    </row>
    <row r="115" spans="2:10" ht="17.25" thickBot="1" x14ac:dyDescent="0.35">
      <c r="B115" s="4"/>
      <c r="C115" s="4"/>
      <c r="D115" s="4"/>
      <c r="E115" s="4" t="s">
        <v>764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765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1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580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9"/>
        <v>1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581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9"/>
        <v>1</v>
      </c>
    </row>
    <row r="119" spans="2:10" ht="17.25" thickBot="1" x14ac:dyDescent="0.35">
      <c r="B119" s="4"/>
      <c r="C119" s="4"/>
      <c r="D119" s="4"/>
      <c r="E119" s="4" t="s">
        <v>495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766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767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1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583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582</v>
      </c>
      <c r="F123" s="6" t="b">
        <f t="shared" si="16"/>
        <v>1</v>
      </c>
      <c r="G123" s="6">
        <f t="shared" si="17"/>
        <v>1</v>
      </c>
      <c r="H123" s="6" t="b">
        <f t="shared" si="18"/>
        <v>1</v>
      </c>
      <c r="I123" s="6">
        <f t="shared" si="19"/>
        <v>1</v>
      </c>
    </row>
    <row r="124" spans="2:10" ht="17.25" thickBot="1" x14ac:dyDescent="0.35">
      <c r="B124" s="4"/>
      <c r="C124" s="4"/>
      <c r="D124" s="4"/>
      <c r="E124" s="4" t="s">
        <v>584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585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768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1</v>
      </c>
    </row>
    <row r="127" spans="2:10" ht="17.25" thickBot="1" x14ac:dyDescent="0.35">
      <c r="B127" s="6" t="s">
        <v>102</v>
      </c>
      <c r="C127" s="6" t="s">
        <v>168</v>
      </c>
      <c r="D127" s="6" t="s">
        <v>537</v>
      </c>
      <c r="E127" s="7" t="s">
        <v>586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9"/>
        <v>1</v>
      </c>
    </row>
    <row r="128" spans="2:10" ht="17.25" thickBot="1" x14ac:dyDescent="0.35">
      <c r="B128" s="4"/>
      <c r="C128" s="4" t="s">
        <v>169</v>
      </c>
      <c r="D128" s="4" t="s">
        <v>430</v>
      </c>
      <c r="E128" s="8" t="s">
        <v>496</v>
      </c>
      <c r="F128" s="6" t="b">
        <f t="shared" si="16"/>
        <v>1</v>
      </c>
      <c r="G128" s="6">
        <f t="shared" si="17"/>
        <v>1</v>
      </c>
      <c r="H128" s="6" t="b">
        <f t="shared" si="18"/>
        <v>1</v>
      </c>
      <c r="I128" s="6">
        <f t="shared" si="19"/>
        <v>1</v>
      </c>
    </row>
    <row r="129" spans="2:10" ht="17.25" thickBot="1" x14ac:dyDescent="0.35">
      <c r="B129" s="4"/>
      <c r="C129" s="4"/>
      <c r="D129" s="4"/>
      <c r="E129" s="4" t="s">
        <v>587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588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589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1</v>
      </c>
    </row>
    <row r="132" spans="2:10" ht="17.25" thickBot="1" x14ac:dyDescent="0.35">
      <c r="B132" s="6" t="s">
        <v>30</v>
      </c>
      <c r="C132" s="6" t="s">
        <v>170</v>
      </c>
      <c r="D132" s="6" t="s">
        <v>538</v>
      </c>
      <c r="E132" s="7" t="s">
        <v>588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587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s="4" t="s">
        <v>589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590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496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1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591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173</v>
      </c>
      <c r="D138" s="4" t="s">
        <v>421</v>
      </c>
      <c r="E138" s="8" t="s">
        <v>592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5"/>
        <v>1</v>
      </c>
    </row>
    <row r="139" spans="2:10" ht="17.25" thickBot="1" x14ac:dyDescent="0.35">
      <c r="B139" s="4"/>
      <c r="C139" s="4"/>
      <c r="D139" s="4"/>
      <c r="E139" s="4" t="s">
        <v>578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593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491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1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594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175</v>
      </c>
      <c r="D143" s="4" t="s">
        <v>422</v>
      </c>
      <c r="E143" s="8" t="s">
        <v>595</v>
      </c>
      <c r="F143" s="6" t="b">
        <f t="shared" si="32"/>
        <v>1</v>
      </c>
      <c r="G143" s="6">
        <f t="shared" si="33"/>
        <v>1</v>
      </c>
      <c r="H143" s="6" t="b">
        <f t="shared" si="34"/>
        <v>1</v>
      </c>
      <c r="I143" s="6">
        <f t="shared" si="35"/>
        <v>1</v>
      </c>
    </row>
    <row r="144" spans="2:10" ht="17.25" thickBot="1" x14ac:dyDescent="0.35">
      <c r="B144" s="4"/>
      <c r="C144" s="4" t="s">
        <v>176</v>
      </c>
      <c r="D144" s="4"/>
      <c r="E144" s="4" t="s">
        <v>769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498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593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1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596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3" ht="17.25" thickBot="1" x14ac:dyDescent="0.35">
      <c r="B148" s="4"/>
      <c r="C148" s="4" t="s">
        <v>179</v>
      </c>
      <c r="D148" s="4" t="s">
        <v>423</v>
      </c>
      <c r="E148" s="8" t="s">
        <v>597</v>
      </c>
      <c r="F148" s="6" t="b">
        <f t="shared" si="32"/>
        <v>1</v>
      </c>
      <c r="G148" s="6">
        <f t="shared" si="33"/>
        <v>1</v>
      </c>
      <c r="H148" s="6" t="b">
        <f t="shared" si="34"/>
        <v>1</v>
      </c>
      <c r="I148" s="6">
        <f t="shared" si="35"/>
        <v>1</v>
      </c>
    </row>
    <row r="149" spans="1:13" ht="17.25" thickBot="1" x14ac:dyDescent="0.35">
      <c r="B149" s="4"/>
      <c r="C149" s="4"/>
      <c r="D149" s="4"/>
      <c r="E149" s="4" t="s">
        <v>593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770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594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1</v>
      </c>
      <c r="K151">
        <f>SUM(J102:J151)</f>
        <v>8</v>
      </c>
      <c r="M151">
        <f>SUM(I102:I151)</f>
        <v>16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6" t="s">
        <v>771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772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8" t="s">
        <v>499</v>
      </c>
      <c r="F154" s="6" t="b">
        <f t="shared" si="32"/>
        <v>0</v>
      </c>
      <c r="G154" s="6">
        <f t="shared" si="33"/>
        <v>0</v>
      </c>
      <c r="H154" s="6" t="b">
        <f t="shared" si="34"/>
        <v>1</v>
      </c>
      <c r="I154" s="6">
        <f t="shared" si="35"/>
        <v>1</v>
      </c>
    </row>
    <row r="155" spans="1:13" ht="17.25" thickBot="1" x14ac:dyDescent="0.35">
      <c r="B155" s="4"/>
      <c r="C155" s="4"/>
      <c r="D155" s="4"/>
      <c r="E155" s="4" t="s">
        <v>598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4" t="s">
        <v>599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1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7" t="s">
        <v>599</v>
      </c>
      <c r="F157" s="6" t="b">
        <f t="shared" si="32"/>
        <v>1</v>
      </c>
      <c r="G157" s="6">
        <f t="shared" si="33"/>
        <v>1</v>
      </c>
      <c r="H157" s="6" t="b">
        <f t="shared" si="34"/>
        <v>1</v>
      </c>
      <c r="I157" s="6">
        <f t="shared" si="35"/>
        <v>1</v>
      </c>
    </row>
    <row r="158" spans="1:13" ht="17.25" thickBot="1" x14ac:dyDescent="0.35">
      <c r="B158" s="4"/>
      <c r="C158" s="4" t="s">
        <v>183</v>
      </c>
      <c r="D158" s="4" t="s">
        <v>419</v>
      </c>
      <c r="E158" s="8" t="s">
        <v>598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5"/>
        <v>1</v>
      </c>
    </row>
    <row r="159" spans="1:13" ht="17.25" thickBot="1" x14ac:dyDescent="0.35">
      <c r="B159" s="4"/>
      <c r="C159" s="4"/>
      <c r="D159" s="4"/>
      <c r="E159" s="4" t="s">
        <v>773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600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774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1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601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185</v>
      </c>
      <c r="D163" s="4" t="s">
        <v>418</v>
      </c>
      <c r="E163" s="8" t="s">
        <v>602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s="4" t="s">
        <v>603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774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503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1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775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776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8" t="s">
        <v>729</v>
      </c>
      <c r="F169" s="6" t="b">
        <f t="shared" si="32"/>
        <v>0</v>
      </c>
      <c r="G169" s="6">
        <f t="shared" si="33"/>
        <v>0</v>
      </c>
      <c r="H169" s="6" t="b">
        <f t="shared" si="34"/>
        <v>1</v>
      </c>
      <c r="I169" s="6">
        <f t="shared" si="35"/>
        <v>1</v>
      </c>
    </row>
    <row r="170" spans="2:10" ht="17.25" thickBot="1" x14ac:dyDescent="0.35">
      <c r="B170" s="4"/>
      <c r="C170" s="4"/>
      <c r="D170" s="4"/>
      <c r="E170" s="8" t="s">
        <v>500</v>
      </c>
      <c r="F170" s="6" t="b">
        <f t="shared" si="32"/>
        <v>0</v>
      </c>
      <c r="G170" s="6">
        <f t="shared" si="33"/>
        <v>0</v>
      </c>
      <c r="H170" s="6" t="b">
        <f t="shared" si="34"/>
        <v>1</v>
      </c>
      <c r="I170" s="6">
        <f t="shared" si="35"/>
        <v>1</v>
      </c>
    </row>
    <row r="171" spans="2:10" ht="17.25" thickBot="1" x14ac:dyDescent="0.35">
      <c r="B171" s="5"/>
      <c r="C171" s="5"/>
      <c r="D171" s="5"/>
      <c r="E171" s="4" t="s">
        <v>604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1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7" t="s">
        <v>503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5"/>
        <v>1</v>
      </c>
    </row>
    <row r="173" spans="2:10" ht="17.25" thickBot="1" x14ac:dyDescent="0.35">
      <c r="B173" s="4"/>
      <c r="C173" s="4" t="s">
        <v>189</v>
      </c>
      <c r="D173" s="4" t="s">
        <v>416</v>
      </c>
      <c r="E173" s="8" t="s">
        <v>606</v>
      </c>
      <c r="F173" s="6" t="b">
        <f t="shared" si="32"/>
        <v>1</v>
      </c>
      <c r="G173" s="6">
        <f t="shared" si="33"/>
        <v>1</v>
      </c>
      <c r="H173" s="6" t="b">
        <f t="shared" si="34"/>
        <v>1</v>
      </c>
      <c r="I173" s="6">
        <f t="shared" si="35"/>
        <v>1</v>
      </c>
    </row>
    <row r="174" spans="2:10" ht="17.25" thickBot="1" x14ac:dyDescent="0.35">
      <c r="B174" s="4"/>
      <c r="C174" s="4"/>
      <c r="D174" s="4"/>
      <c r="E174" s="4" t="s">
        <v>605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777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504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1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603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607</v>
      </c>
      <c r="F178" s="6" t="b">
        <f t="shared" si="32"/>
        <v>1</v>
      </c>
      <c r="G178" s="6">
        <f t="shared" si="33"/>
        <v>1</v>
      </c>
      <c r="H178" s="6" t="b">
        <f t="shared" si="34"/>
        <v>1</v>
      </c>
      <c r="I178" s="6">
        <f t="shared" si="35"/>
        <v>1</v>
      </c>
    </row>
    <row r="179" spans="2:10" ht="17.25" thickBot="1" x14ac:dyDescent="0.35">
      <c r="B179" s="4"/>
      <c r="C179" s="4"/>
      <c r="D179" s="4"/>
      <c r="E179" s="4" t="s">
        <v>778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503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779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1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600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539</v>
      </c>
      <c r="D183" s="4" t="s">
        <v>414</v>
      </c>
      <c r="E183" s="8" t="s">
        <v>502</v>
      </c>
      <c r="F183" s="6" t="b">
        <f t="shared" si="32"/>
        <v>1</v>
      </c>
      <c r="G183" s="6">
        <f t="shared" si="33"/>
        <v>1</v>
      </c>
      <c r="H183" s="6" t="b">
        <f t="shared" si="34"/>
        <v>1</v>
      </c>
      <c r="I183" s="6">
        <f t="shared" si="35"/>
        <v>1</v>
      </c>
    </row>
    <row r="184" spans="2:10" ht="17.25" thickBot="1" x14ac:dyDescent="0.35">
      <c r="B184" s="4"/>
      <c r="C184" s="4"/>
      <c r="D184" s="4"/>
      <c r="E184" s="4" t="s">
        <v>598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501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500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1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7" t="s">
        <v>608</v>
      </c>
      <c r="F187" s="6" t="b">
        <f t="shared" si="32"/>
        <v>1</v>
      </c>
      <c r="G187" s="6">
        <f t="shared" si="33"/>
        <v>1</v>
      </c>
      <c r="H187" s="6" t="b">
        <f t="shared" si="34"/>
        <v>1</v>
      </c>
      <c r="I187" s="6">
        <f t="shared" si="35"/>
        <v>1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609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774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610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611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1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612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3" ht="17.25" thickBot="1" x14ac:dyDescent="0.35">
      <c r="B193" s="4"/>
      <c r="C193" s="4" t="s">
        <v>196</v>
      </c>
      <c r="D193" s="4" t="s">
        <v>540</v>
      </c>
      <c r="E193" s="8" t="s">
        <v>613</v>
      </c>
      <c r="F193" s="6" t="b">
        <f t="shared" si="32"/>
        <v>1</v>
      </c>
      <c r="G193" s="6">
        <f t="shared" si="33"/>
        <v>1</v>
      </c>
      <c r="H193" s="6" t="b">
        <f t="shared" si="34"/>
        <v>1</v>
      </c>
      <c r="I193" s="6">
        <f t="shared" si="35"/>
        <v>1</v>
      </c>
    </row>
    <row r="194" spans="1:13" ht="17.25" thickBot="1" x14ac:dyDescent="0.35">
      <c r="B194" s="4"/>
      <c r="C194" s="4" t="s">
        <v>197</v>
      </c>
      <c r="E194" s="4" t="s">
        <v>614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615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611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1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771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541</v>
      </c>
      <c r="E198" s="4" t="s">
        <v>780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781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8" t="s">
        <v>616</v>
      </c>
      <c r="F200" s="6" t="b">
        <f t="shared" si="49"/>
        <v>0</v>
      </c>
      <c r="G200" s="6">
        <f t="shared" si="50"/>
        <v>0</v>
      </c>
      <c r="H200" s="6" t="b">
        <f t="shared" si="51"/>
        <v>1</v>
      </c>
      <c r="I200" s="6">
        <f t="shared" si="52"/>
        <v>1</v>
      </c>
    </row>
    <row r="201" spans="1:13" ht="17.25" thickBot="1" x14ac:dyDescent="0.35">
      <c r="B201" s="5"/>
      <c r="C201" s="5"/>
      <c r="D201" s="5"/>
      <c r="E201" s="4" t="s">
        <v>617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1</v>
      </c>
      <c r="K201">
        <f>SUM(J152:J201)</f>
        <v>10</v>
      </c>
      <c r="M201">
        <f>SUM(I152:I201)</f>
        <v>17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6" t="s">
        <v>782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783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784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785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786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7" t="s">
        <v>618</v>
      </c>
      <c r="F207" s="6" t="b">
        <f t="shared" si="49"/>
        <v>1</v>
      </c>
      <c r="G207" s="6">
        <f t="shared" si="50"/>
        <v>1</v>
      </c>
      <c r="H207" s="6" t="b">
        <f t="shared" si="51"/>
        <v>1</v>
      </c>
      <c r="I207" s="6">
        <f t="shared" si="52"/>
        <v>1</v>
      </c>
    </row>
    <row r="208" spans="1:13" ht="17.25" thickBot="1" x14ac:dyDescent="0.35">
      <c r="B208" s="4"/>
      <c r="C208" s="4"/>
      <c r="D208" s="4"/>
      <c r="E208" s="4" t="s">
        <v>619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787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788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789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1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7" t="s">
        <v>620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52"/>
        <v>1</v>
      </c>
    </row>
    <row r="213" spans="2:10" ht="17.25" thickBot="1" x14ac:dyDescent="0.35">
      <c r="B213" s="4"/>
      <c r="C213" s="4"/>
      <c r="D213" s="4"/>
      <c r="E213" s="4" t="s">
        <v>787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619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621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730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1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790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791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8" t="s">
        <v>622</v>
      </c>
      <c r="F219" s="6" t="b">
        <f t="shared" si="49"/>
        <v>0</v>
      </c>
      <c r="G219" s="6">
        <f t="shared" si="50"/>
        <v>0</v>
      </c>
      <c r="H219" s="6" t="b">
        <f t="shared" si="51"/>
        <v>1</v>
      </c>
      <c r="I219" s="6">
        <f t="shared" si="52"/>
        <v>1</v>
      </c>
    </row>
    <row r="220" spans="2:10" ht="17.25" thickBot="1" x14ac:dyDescent="0.35">
      <c r="B220" s="4"/>
      <c r="C220" s="4"/>
      <c r="D220" s="4"/>
      <c r="E220" s="4" t="s">
        <v>792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793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1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7" t="s">
        <v>623</v>
      </c>
      <c r="F222" s="6" t="b">
        <f t="shared" si="49"/>
        <v>1</v>
      </c>
      <c r="G222" s="6">
        <f t="shared" si="50"/>
        <v>1</v>
      </c>
      <c r="H222" s="6" t="b">
        <f t="shared" si="51"/>
        <v>1</v>
      </c>
      <c r="I222" s="6">
        <f t="shared" si="52"/>
        <v>1</v>
      </c>
    </row>
    <row r="223" spans="2:10" ht="17.25" thickBot="1" x14ac:dyDescent="0.35">
      <c r="B223" s="4"/>
      <c r="C223" s="4"/>
      <c r="D223" s="4"/>
      <c r="E223" s="4" t="s">
        <v>624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794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795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796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1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626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52"/>
        <v>1</v>
      </c>
    </row>
    <row r="228" spans="2:10" ht="17.25" thickBot="1" x14ac:dyDescent="0.35">
      <c r="B228" s="4"/>
      <c r="C228" s="4"/>
      <c r="D228" s="4"/>
      <c r="E228" s="4" t="s">
        <v>627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476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795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628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1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7" t="s">
        <v>625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623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629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630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1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631</v>
      </c>
      <c r="F237" s="6" t="b">
        <f t="shared" si="49"/>
        <v>1</v>
      </c>
      <c r="G237" s="6">
        <f t="shared" si="50"/>
        <v>1</v>
      </c>
      <c r="H237" s="6" t="b">
        <f t="shared" si="51"/>
        <v>1</v>
      </c>
      <c r="I237" s="6">
        <f t="shared" si="52"/>
        <v>1</v>
      </c>
    </row>
    <row r="238" spans="2:10" ht="17.25" thickBot="1" x14ac:dyDescent="0.35">
      <c r="B238" s="4"/>
      <c r="C238" s="4"/>
      <c r="D238" s="4"/>
      <c r="E238" s="4" t="s">
        <v>632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633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622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470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1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624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52"/>
        <v>1</v>
      </c>
    </row>
    <row r="243" spans="1:13" ht="17.25" thickBot="1" x14ac:dyDescent="0.35">
      <c r="B243" s="4"/>
      <c r="C243" s="4"/>
      <c r="D243" s="4"/>
      <c r="E243" s="4" t="s">
        <v>623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632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793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633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1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634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632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797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798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635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8</v>
      </c>
      <c r="M251">
        <f>SUM(I202:I251)</f>
        <v>8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7" t="s">
        <v>636</v>
      </c>
      <c r="F252" s="6" t="b">
        <f t="shared" si="49"/>
        <v>1</v>
      </c>
      <c r="G252" s="6">
        <f t="shared" si="50"/>
        <v>1</v>
      </c>
      <c r="H252" s="6" t="b">
        <f t="shared" si="51"/>
        <v>1</v>
      </c>
      <c r="I252" s="6">
        <f t="shared" si="52"/>
        <v>1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637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11"/>
      <c r="E254" s="4" t="s">
        <v>638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11"/>
      <c r="E255" s="4" t="s">
        <v>639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505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1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6" t="s">
        <v>799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11" t="s">
        <v>521</v>
      </c>
      <c r="D258" s="11" t="s">
        <v>521</v>
      </c>
      <c r="E258" s="8" t="s">
        <v>640</v>
      </c>
      <c r="F258" s="6" t="b">
        <f t="shared" si="49"/>
        <v>1</v>
      </c>
      <c r="G258" s="6">
        <f t="shared" si="50"/>
        <v>1</v>
      </c>
      <c r="H258" s="6" t="b">
        <f t="shared" si="51"/>
        <v>1</v>
      </c>
      <c r="I258" s="6">
        <f t="shared" si="52"/>
        <v>1</v>
      </c>
    </row>
    <row r="259" spans="2:10" ht="17.25" thickBot="1" x14ac:dyDescent="0.35">
      <c r="B259" s="4"/>
      <c r="C259" s="11" t="s">
        <v>522</v>
      </c>
      <c r="D259" s="11" t="s">
        <v>522</v>
      </c>
      <c r="E259" s="4" t="s">
        <v>641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642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638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1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507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524</v>
      </c>
      <c r="E263" s="8" t="s">
        <v>544</v>
      </c>
      <c r="F263" s="6" t="b">
        <f t="shared" si="66"/>
        <v>1</v>
      </c>
      <c r="G263" s="6">
        <f t="shared" si="67"/>
        <v>1</v>
      </c>
      <c r="H263" s="6" t="b">
        <f t="shared" si="68"/>
        <v>1</v>
      </c>
      <c r="I263" s="6">
        <f t="shared" si="69"/>
        <v>1</v>
      </c>
    </row>
    <row r="264" spans="2:10" ht="17.25" thickBot="1" x14ac:dyDescent="0.35">
      <c r="B264" s="4"/>
      <c r="C264" s="4" t="s">
        <v>544</v>
      </c>
      <c r="D264" s="4" t="s">
        <v>523</v>
      </c>
      <c r="E264" s="4" t="s">
        <v>800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8" t="s">
        <v>644</v>
      </c>
      <c r="F265" s="6" t="b">
        <f t="shared" si="66"/>
        <v>0</v>
      </c>
      <c r="G265" s="6">
        <f t="shared" si="67"/>
        <v>0</v>
      </c>
      <c r="H265" s="6" t="b">
        <f t="shared" si="68"/>
        <v>1</v>
      </c>
      <c r="I265" s="6">
        <f t="shared" si="69"/>
        <v>1</v>
      </c>
    </row>
    <row r="266" spans="2:10" ht="17.25" thickBot="1" x14ac:dyDescent="0.35">
      <c r="B266" s="5"/>
      <c r="C266" s="5"/>
      <c r="D266" s="5"/>
      <c r="E266" s="4" t="s">
        <v>646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1</v>
      </c>
    </row>
    <row r="267" spans="2:10" ht="17.25" thickBot="1" x14ac:dyDescent="0.35">
      <c r="B267" s="6" t="s">
        <v>51</v>
      </c>
      <c r="C267" s="6" t="s">
        <v>216</v>
      </c>
      <c r="D267" s="4" t="s">
        <v>523</v>
      </c>
      <c r="E267" s="7" t="s">
        <v>544</v>
      </c>
      <c r="F267" s="6" t="b">
        <f t="shared" si="66"/>
        <v>1</v>
      </c>
      <c r="G267" s="6">
        <f t="shared" si="67"/>
        <v>1</v>
      </c>
      <c r="H267" s="6" t="b">
        <f t="shared" si="68"/>
        <v>1</v>
      </c>
      <c r="I267" s="6">
        <f t="shared" si="69"/>
        <v>1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645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s="4" t="s">
        <v>636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643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639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1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646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647</v>
      </c>
      <c r="F273" s="6" t="b">
        <f t="shared" si="66"/>
        <v>1</v>
      </c>
      <c r="G273" s="6">
        <f t="shared" si="67"/>
        <v>1</v>
      </c>
      <c r="H273" s="6" t="b">
        <f t="shared" si="68"/>
        <v>1</v>
      </c>
      <c r="I273" s="6">
        <f t="shared" si="69"/>
        <v>1</v>
      </c>
    </row>
    <row r="274" spans="2:10" ht="17.25" thickBot="1" x14ac:dyDescent="0.35">
      <c r="B274" s="4"/>
      <c r="C274" s="4"/>
      <c r="D274" s="4"/>
      <c r="E274" s="4" t="s">
        <v>648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801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802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1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649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8" t="s">
        <v>650</v>
      </c>
      <c r="F278" s="6" t="b">
        <f t="shared" si="66"/>
        <v>0</v>
      </c>
      <c r="G278" s="6">
        <f t="shared" si="67"/>
        <v>0</v>
      </c>
      <c r="H278" s="6" t="b">
        <f t="shared" si="68"/>
        <v>1</v>
      </c>
      <c r="I278" s="6">
        <f t="shared" si="69"/>
        <v>1</v>
      </c>
    </row>
    <row r="279" spans="2:10" ht="17.25" thickBot="1" x14ac:dyDescent="0.35">
      <c r="B279" s="4"/>
      <c r="C279" s="4"/>
      <c r="D279" s="4"/>
      <c r="E279" s="4" t="s">
        <v>654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643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636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1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649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9"/>
        <v>1</v>
      </c>
    </row>
    <row r="283" spans="2:10" ht="17.25" thickBot="1" x14ac:dyDescent="0.35">
      <c r="B283" s="4"/>
      <c r="C283" s="4" t="s">
        <v>222</v>
      </c>
      <c r="D283" s="4" t="s">
        <v>349</v>
      </c>
      <c r="E283" s="8" t="s">
        <v>651</v>
      </c>
      <c r="F283" s="6" t="b">
        <f t="shared" si="66"/>
        <v>1</v>
      </c>
      <c r="G283" s="6">
        <f t="shared" si="67"/>
        <v>1</v>
      </c>
      <c r="H283" s="6" t="b">
        <f t="shared" si="68"/>
        <v>1</v>
      </c>
      <c r="I283" s="6">
        <f t="shared" si="69"/>
        <v>1</v>
      </c>
    </row>
    <row r="284" spans="2:10" ht="17.25" thickBot="1" x14ac:dyDescent="0.35">
      <c r="B284" s="4"/>
      <c r="C284" s="4"/>
      <c r="D284" s="4"/>
      <c r="E284" s="4" t="s">
        <v>650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508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638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1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6" t="s">
        <v>803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8" t="s">
        <v>652</v>
      </c>
      <c r="F288" s="6" t="b">
        <f t="shared" si="66"/>
        <v>0</v>
      </c>
      <c r="G288" s="6">
        <f t="shared" si="67"/>
        <v>0</v>
      </c>
      <c r="H288" s="6" t="b">
        <f t="shared" si="68"/>
        <v>1</v>
      </c>
      <c r="I288" s="6">
        <f t="shared" si="69"/>
        <v>1</v>
      </c>
    </row>
    <row r="289" spans="1:13" ht="17.25" thickBot="1" x14ac:dyDescent="0.35">
      <c r="B289" s="4"/>
      <c r="C289" s="4"/>
      <c r="D289" s="4"/>
      <c r="E289" s="4" t="s">
        <v>653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643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636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1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655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3" ht="17.25" thickBot="1" x14ac:dyDescent="0.35">
      <c r="B293" s="4"/>
      <c r="C293" s="4" t="s">
        <v>225</v>
      </c>
      <c r="D293" s="4" t="s">
        <v>351</v>
      </c>
      <c r="E293" s="8" t="s">
        <v>656</v>
      </c>
      <c r="F293" s="6" t="b">
        <f t="shared" si="66"/>
        <v>1</v>
      </c>
      <c r="G293" s="6">
        <f t="shared" si="67"/>
        <v>1</v>
      </c>
      <c r="H293" s="6" t="b">
        <f t="shared" si="68"/>
        <v>1</v>
      </c>
      <c r="I293" s="6">
        <f t="shared" si="69"/>
        <v>1</v>
      </c>
    </row>
    <row r="294" spans="1:13" ht="17.25" thickBot="1" x14ac:dyDescent="0.35">
      <c r="B294" s="4"/>
      <c r="C294" s="4"/>
      <c r="D294" s="4"/>
      <c r="E294" s="4" t="s">
        <v>509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544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804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1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643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650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8" t="s">
        <v>506</v>
      </c>
      <c r="F299" s="6" t="b">
        <f t="shared" si="66"/>
        <v>0</v>
      </c>
      <c r="G299" s="6">
        <f t="shared" si="67"/>
        <v>0</v>
      </c>
      <c r="H299" s="6" t="b">
        <f t="shared" si="68"/>
        <v>1</v>
      </c>
      <c r="I299" s="6">
        <f t="shared" si="69"/>
        <v>1</v>
      </c>
    </row>
    <row r="300" spans="1:13" ht="17.25" thickBot="1" x14ac:dyDescent="0.35">
      <c r="B300" s="4"/>
      <c r="C300" s="4"/>
      <c r="D300" s="4"/>
      <c r="E300" s="4" t="s">
        <v>508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638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1</v>
      </c>
      <c r="K301">
        <f>SUM(J252:J301)</f>
        <v>10</v>
      </c>
      <c r="M301">
        <f>SUM(I252:I301)</f>
        <v>15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657</v>
      </c>
      <c r="F302" s="6" t="b">
        <f t="shared" si="66"/>
        <v>1</v>
      </c>
      <c r="G302" s="6">
        <f t="shared" si="67"/>
        <v>1</v>
      </c>
      <c r="H302" s="6" t="b">
        <f t="shared" si="68"/>
        <v>1</v>
      </c>
      <c r="I302" s="6">
        <f t="shared" si="69"/>
        <v>1</v>
      </c>
    </row>
    <row r="303" spans="1:13" ht="17.25" thickBot="1" x14ac:dyDescent="0.35">
      <c r="B303" s="4"/>
      <c r="C303" s="4" t="s">
        <v>228</v>
      </c>
      <c r="D303" s="4" t="s">
        <v>354</v>
      </c>
      <c r="E303" s="8" t="s">
        <v>658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659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661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660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1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7" t="s">
        <v>658</v>
      </c>
      <c r="F307" s="6" t="b">
        <f t="shared" si="66"/>
        <v>1</v>
      </c>
      <c r="G307" s="6">
        <f t="shared" si="67"/>
        <v>1</v>
      </c>
      <c r="H307" s="6" t="b">
        <f t="shared" si="68"/>
        <v>1</v>
      </c>
      <c r="I307" s="6">
        <f t="shared" si="69"/>
        <v>1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661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511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805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806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1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510</v>
      </c>
      <c r="F312" s="6" t="b">
        <f t="shared" si="66"/>
        <v>1</v>
      </c>
      <c r="G312" s="6">
        <f t="shared" si="67"/>
        <v>1</v>
      </c>
      <c r="H312" s="6" t="b">
        <f t="shared" si="68"/>
        <v>1</v>
      </c>
      <c r="I312" s="6">
        <f t="shared" si="69"/>
        <v>1</v>
      </c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662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8" t="s">
        <v>660</v>
      </c>
      <c r="F314" s="6" t="b">
        <f t="shared" si="66"/>
        <v>0</v>
      </c>
      <c r="G314" s="6">
        <f t="shared" si="67"/>
        <v>0</v>
      </c>
      <c r="H314" s="6" t="b">
        <f t="shared" si="68"/>
        <v>1</v>
      </c>
      <c r="I314" s="6">
        <f t="shared" si="69"/>
        <v>1</v>
      </c>
    </row>
    <row r="315" spans="2:10" ht="17.25" thickBot="1" x14ac:dyDescent="0.35">
      <c r="B315" s="4"/>
      <c r="C315" s="4"/>
      <c r="D315" s="4"/>
      <c r="E315" s="4" t="s">
        <v>657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516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1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514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663</v>
      </c>
      <c r="F318" s="6" t="b">
        <f t="shared" si="66"/>
        <v>1</v>
      </c>
      <c r="G318" s="6">
        <f t="shared" si="67"/>
        <v>1</v>
      </c>
      <c r="H318" s="6" t="b">
        <f t="shared" si="68"/>
        <v>1</v>
      </c>
      <c r="I318" s="6">
        <f t="shared" si="69"/>
        <v>1</v>
      </c>
    </row>
    <row r="319" spans="2:10" ht="17.25" thickBot="1" x14ac:dyDescent="0.35">
      <c r="B319" s="4"/>
      <c r="C319" s="4" t="s">
        <v>237</v>
      </c>
      <c r="D319" s="4" t="s">
        <v>237</v>
      </c>
      <c r="E319" s="8" t="s">
        <v>664</v>
      </c>
      <c r="F319" s="6" t="b">
        <f t="shared" si="66"/>
        <v>1</v>
      </c>
      <c r="G319" s="6">
        <f t="shared" si="67"/>
        <v>1</v>
      </c>
      <c r="H319" s="6" t="b">
        <f t="shared" si="68"/>
        <v>1</v>
      </c>
      <c r="I319" s="6">
        <f t="shared" si="69"/>
        <v>1</v>
      </c>
    </row>
    <row r="320" spans="2:10" ht="17.25" thickBot="1" x14ac:dyDescent="0.35">
      <c r="B320" s="4"/>
      <c r="C320" s="4"/>
      <c r="D320" s="4"/>
      <c r="E320" s="8" t="s">
        <v>665</v>
      </c>
      <c r="F320" s="6" t="b">
        <f t="shared" si="66"/>
        <v>0</v>
      </c>
      <c r="G320" s="6">
        <f t="shared" si="67"/>
        <v>0</v>
      </c>
      <c r="H320" s="6" t="b">
        <f t="shared" si="68"/>
        <v>1</v>
      </c>
      <c r="I320" s="6">
        <f t="shared" si="69"/>
        <v>1</v>
      </c>
    </row>
    <row r="321" spans="2:10" ht="17.25" thickBot="1" x14ac:dyDescent="0.35">
      <c r="B321" s="5"/>
      <c r="C321" s="5"/>
      <c r="D321" s="5"/>
      <c r="E321" s="4" t="s">
        <v>513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1</v>
      </c>
    </row>
    <row r="322" spans="2:10" ht="17.25" thickBot="1" x14ac:dyDescent="0.35">
      <c r="B322" s="6" t="s">
        <v>62</v>
      </c>
      <c r="C322" s="6" t="s">
        <v>238</v>
      </c>
      <c r="D322" s="6" t="s">
        <v>542</v>
      </c>
      <c r="E322" s="7" t="s">
        <v>666</v>
      </c>
      <c r="F322" s="6" t="b">
        <f t="shared" si="66"/>
        <v>1</v>
      </c>
      <c r="G322" s="6">
        <f t="shared" si="67"/>
        <v>1</v>
      </c>
      <c r="H322" s="6" t="b">
        <f t="shared" si="68"/>
        <v>1</v>
      </c>
      <c r="I322" s="6">
        <f t="shared" si="69"/>
        <v>1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807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667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808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512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1</v>
      </c>
    </row>
    <row r="327" spans="2:10" ht="17.25" thickBot="1" x14ac:dyDescent="0.35">
      <c r="B327" s="6" t="s">
        <v>63</v>
      </c>
      <c r="C327" s="6" t="s">
        <v>240</v>
      </c>
      <c r="D327" s="6" t="s">
        <v>543</v>
      </c>
      <c r="E327" s="6" t="s">
        <v>662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8" t="s">
        <v>668</v>
      </c>
      <c r="F328" s="6" t="b">
        <f t="shared" si="83"/>
        <v>1</v>
      </c>
      <c r="G328" s="6">
        <f t="shared" si="84"/>
        <v>1</v>
      </c>
      <c r="H328" s="6" t="b">
        <f t="shared" si="85"/>
        <v>1</v>
      </c>
      <c r="I328" s="6">
        <f t="shared" si="86"/>
        <v>1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809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8" t="s">
        <v>669</v>
      </c>
      <c r="F330" s="6" t="b">
        <f t="shared" si="83"/>
        <v>0</v>
      </c>
      <c r="G330" s="6">
        <f t="shared" si="84"/>
        <v>0</v>
      </c>
      <c r="H330" s="6" t="b">
        <f t="shared" si="85"/>
        <v>1</v>
      </c>
      <c r="I330" s="6">
        <f t="shared" si="86"/>
        <v>1</v>
      </c>
    </row>
    <row r="331" spans="2:10" ht="17.25" thickBot="1" x14ac:dyDescent="0.35">
      <c r="B331" s="5"/>
      <c r="C331" s="5"/>
      <c r="D331" s="5"/>
      <c r="E331" s="4" t="s">
        <v>514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1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670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6"/>
        <v>1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664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8" t="s">
        <v>515</v>
      </c>
      <c r="F334" s="6" t="b">
        <f t="shared" si="83"/>
        <v>1</v>
      </c>
      <c r="G334" s="6">
        <f t="shared" si="84"/>
        <v>1</v>
      </c>
      <c r="H334" s="6" t="b">
        <f t="shared" si="85"/>
        <v>1</v>
      </c>
      <c r="I334" s="6">
        <f t="shared" si="86"/>
        <v>1</v>
      </c>
    </row>
    <row r="335" spans="2:10" ht="17.25" thickBot="1" x14ac:dyDescent="0.35">
      <c r="B335" s="4"/>
      <c r="C335" s="4"/>
      <c r="D335" s="4" t="s">
        <v>360</v>
      </c>
      <c r="E335" s="8" t="s">
        <v>665</v>
      </c>
      <c r="F335" s="6" t="b">
        <f t="shared" si="83"/>
        <v>1</v>
      </c>
      <c r="G335" s="6">
        <f t="shared" si="84"/>
        <v>1</v>
      </c>
      <c r="H335" s="6" t="b">
        <f t="shared" si="85"/>
        <v>1</v>
      </c>
      <c r="I335" s="6">
        <f t="shared" si="86"/>
        <v>1</v>
      </c>
    </row>
    <row r="336" spans="2:10" ht="17.25" thickBot="1" x14ac:dyDescent="0.35">
      <c r="B336" s="5"/>
      <c r="C336" s="5"/>
      <c r="D336" s="5" t="s">
        <v>365</v>
      </c>
      <c r="E336" s="4" t="s">
        <v>810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1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7" t="s">
        <v>811</v>
      </c>
      <c r="F337" s="6" t="b">
        <f t="shared" si="83"/>
        <v>1</v>
      </c>
      <c r="G337" s="6">
        <f t="shared" si="84"/>
        <v>1</v>
      </c>
      <c r="H337" s="6" t="b">
        <f t="shared" si="85"/>
        <v>1</v>
      </c>
      <c r="I337" s="6">
        <f t="shared" si="86"/>
        <v>1</v>
      </c>
    </row>
    <row r="338" spans="1:13" ht="17.25" thickBot="1" x14ac:dyDescent="0.35">
      <c r="B338" s="4"/>
      <c r="C338" s="4"/>
      <c r="D338" s="4" t="s">
        <v>365</v>
      </c>
      <c r="E338" s="8" t="s">
        <v>657</v>
      </c>
      <c r="F338" s="6" t="b">
        <f t="shared" si="83"/>
        <v>1</v>
      </c>
      <c r="G338" s="6">
        <f t="shared" si="84"/>
        <v>1</v>
      </c>
      <c r="H338" s="6" t="b">
        <f t="shared" si="85"/>
        <v>1</v>
      </c>
      <c r="I338" s="6">
        <f t="shared" si="86"/>
        <v>1</v>
      </c>
    </row>
    <row r="339" spans="1:13" ht="17.25" thickBot="1" x14ac:dyDescent="0.35">
      <c r="B339" s="4"/>
      <c r="C339" s="4"/>
      <c r="D339" s="4"/>
      <c r="E339" s="4" t="s">
        <v>510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671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810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1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660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812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4" t="s">
        <v>813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814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815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7" t="s">
        <v>672</v>
      </c>
      <c r="F347" s="6" t="b">
        <f t="shared" si="83"/>
        <v>1</v>
      </c>
      <c r="G347" s="6">
        <f t="shared" si="84"/>
        <v>1</v>
      </c>
      <c r="H347" s="6" t="b">
        <f t="shared" si="85"/>
        <v>1</v>
      </c>
      <c r="I347" s="6">
        <f t="shared" si="86"/>
        <v>1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512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516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813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660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1</v>
      </c>
      <c r="K351">
        <f>SUM(J302:J351)</f>
        <v>9</v>
      </c>
      <c r="M351">
        <f>SUM(I302:I351)</f>
        <v>17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673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6"/>
        <v>1</v>
      </c>
    </row>
    <row r="353" spans="2:10" ht="17.25" thickBot="1" x14ac:dyDescent="0.35">
      <c r="B353" s="4"/>
      <c r="C353" s="4" t="s">
        <v>253</v>
      </c>
      <c r="D353" s="4" t="s">
        <v>398</v>
      </c>
      <c r="E353" s="8" t="s">
        <v>674</v>
      </c>
      <c r="F353" s="6" t="b">
        <f t="shared" si="83"/>
        <v>1</v>
      </c>
      <c r="G353" s="6">
        <f t="shared" si="84"/>
        <v>1</v>
      </c>
      <c r="H353" s="6" t="b">
        <f t="shared" si="85"/>
        <v>1</v>
      </c>
      <c r="I353" s="6">
        <f t="shared" si="86"/>
        <v>1</v>
      </c>
    </row>
    <row r="354" spans="2:10" ht="17.25" thickBot="1" x14ac:dyDescent="0.35">
      <c r="B354" s="4"/>
      <c r="C354" s="4" t="s">
        <v>254</v>
      </c>
      <c r="D354" s="4"/>
      <c r="E354" s="4" t="s">
        <v>675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471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477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1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674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6"/>
        <v>1</v>
      </c>
    </row>
    <row r="358" spans="2:10" ht="17.25" thickBot="1" x14ac:dyDescent="0.35">
      <c r="B358" s="4"/>
      <c r="C358" s="4" t="s">
        <v>256</v>
      </c>
      <c r="D358" s="4" t="s">
        <v>397</v>
      </c>
      <c r="E358" s="8" t="s">
        <v>673</v>
      </c>
      <c r="F358" s="6" t="b">
        <f t="shared" si="83"/>
        <v>1</v>
      </c>
      <c r="G358" s="6">
        <f t="shared" si="84"/>
        <v>1</v>
      </c>
      <c r="H358" s="6" t="b">
        <f t="shared" si="85"/>
        <v>1</v>
      </c>
      <c r="I358" s="6">
        <f t="shared" si="86"/>
        <v>1</v>
      </c>
    </row>
    <row r="359" spans="2:10" ht="17.25" thickBot="1" x14ac:dyDescent="0.35">
      <c r="B359" s="4"/>
      <c r="C359" s="4" t="s">
        <v>257</v>
      </c>
      <c r="E359" s="4" t="s">
        <v>816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675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477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1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7" t="s">
        <v>676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6"/>
        <v>1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731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817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677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8" t="s">
        <v>471</v>
      </c>
      <c r="F366" s="6" t="b">
        <f t="shared" si="83"/>
        <v>0</v>
      </c>
      <c r="G366" s="6">
        <f t="shared" si="84"/>
        <v>0</v>
      </c>
      <c r="H366" s="6" t="b">
        <f t="shared" si="85"/>
        <v>1</v>
      </c>
      <c r="I366" s="6">
        <f t="shared" si="86"/>
        <v>1</v>
      </c>
      <c r="J366">
        <f t="shared" ref="J366" si="95">IF(hascolor(E362:E366,$L$5)=TRUE, 1, 0)</f>
        <v>1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678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6"/>
        <v>1</v>
      </c>
    </row>
    <row r="368" spans="2:10" ht="17.25" thickBot="1" x14ac:dyDescent="0.35">
      <c r="B368" s="4"/>
      <c r="C368" s="4" t="s">
        <v>263</v>
      </c>
      <c r="D368" s="4" t="s">
        <v>395</v>
      </c>
      <c r="E368" s="8" t="s">
        <v>477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264</v>
      </c>
      <c r="D369" s="4"/>
      <c r="E369" s="4" t="s">
        <v>818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674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819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1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679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680</v>
      </c>
      <c r="F373" s="6" t="b">
        <f t="shared" si="83"/>
        <v>1</v>
      </c>
      <c r="G373" s="6">
        <f t="shared" si="84"/>
        <v>1</v>
      </c>
      <c r="H373" s="6" t="b">
        <f t="shared" si="85"/>
        <v>1</v>
      </c>
      <c r="I373" s="6">
        <f t="shared" si="86"/>
        <v>1</v>
      </c>
    </row>
    <row r="374" spans="2:10" ht="17.25" thickBot="1" x14ac:dyDescent="0.35">
      <c r="B374" s="4"/>
      <c r="C374" s="4" t="s">
        <v>268</v>
      </c>
      <c r="E374" s="4" t="s">
        <v>820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821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472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1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681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682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8" t="s">
        <v>822</v>
      </c>
      <c r="F379" s="6" t="b">
        <f t="shared" si="83"/>
        <v>0</v>
      </c>
      <c r="G379" s="6">
        <f t="shared" si="84"/>
        <v>0</v>
      </c>
      <c r="H379" s="6" t="b">
        <f t="shared" si="85"/>
        <v>1</v>
      </c>
      <c r="I379" s="6">
        <f t="shared" si="86"/>
        <v>1</v>
      </c>
    </row>
    <row r="380" spans="2:10" ht="17.25" thickBot="1" x14ac:dyDescent="0.35">
      <c r="B380" s="4"/>
      <c r="C380" s="4"/>
      <c r="D380" s="4"/>
      <c r="E380" s="4" t="s">
        <v>676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683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1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684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823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824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825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685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686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1</v>
      </c>
      <c r="I387" s="6">
        <f t="shared" ref="I387:I450" si="103">IF(H387, 1, 0)</f>
        <v>1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478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s="4" t="s">
        <v>682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684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826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1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7" t="s">
        <v>682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275</v>
      </c>
      <c r="D393" s="4"/>
      <c r="E393" s="4" t="s">
        <v>827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818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685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684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1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687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8" t="s">
        <v>688</v>
      </c>
      <c r="F398" s="6" t="b">
        <f t="shared" si="100"/>
        <v>0</v>
      </c>
      <c r="G398" s="6">
        <f t="shared" si="101"/>
        <v>0</v>
      </c>
      <c r="H398" s="6" t="b">
        <f t="shared" si="102"/>
        <v>1</v>
      </c>
      <c r="I398" s="6">
        <f t="shared" si="103"/>
        <v>1</v>
      </c>
    </row>
    <row r="399" spans="2:10" ht="17.25" thickBot="1" x14ac:dyDescent="0.35">
      <c r="B399" s="4"/>
      <c r="C399" s="4" t="s">
        <v>461</v>
      </c>
      <c r="D399" s="4"/>
      <c r="E399" s="4" t="s">
        <v>689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828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690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1</v>
      </c>
      <c r="K401">
        <f>SUM(J352:J401)</f>
        <v>9</v>
      </c>
      <c r="M401">
        <f>SUM(I352:I401)</f>
        <v>16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691</v>
      </c>
      <c r="F402" s="6" t="b">
        <f t="shared" si="100"/>
        <v>1</v>
      </c>
      <c r="G402" s="6">
        <f t="shared" si="101"/>
        <v>1</v>
      </c>
      <c r="H402" s="6" t="b">
        <f t="shared" si="102"/>
        <v>1</v>
      </c>
      <c r="I402" s="6">
        <f t="shared" si="103"/>
        <v>1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829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830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8" t="s">
        <v>692</v>
      </c>
      <c r="F405" s="6" t="b">
        <f t="shared" si="100"/>
        <v>0</v>
      </c>
      <c r="G405" s="6">
        <f t="shared" si="101"/>
        <v>0</v>
      </c>
      <c r="H405" s="6" t="b">
        <f t="shared" si="102"/>
        <v>1</v>
      </c>
      <c r="I405" s="6">
        <f t="shared" si="103"/>
        <v>1</v>
      </c>
    </row>
    <row r="406" spans="1:13" ht="17.25" thickBot="1" x14ac:dyDescent="0.35">
      <c r="B406" s="5"/>
      <c r="C406" s="5"/>
      <c r="D406" s="5"/>
      <c r="E406" s="4" t="s">
        <v>831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1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693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694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3" ht="17.25" thickBot="1" x14ac:dyDescent="0.35">
      <c r="B409" s="4"/>
      <c r="C409" s="4"/>
      <c r="D409" s="4"/>
      <c r="E409" s="4" t="s">
        <v>695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696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832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1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7" t="s">
        <v>698</v>
      </c>
      <c r="F412" s="6" t="b">
        <f t="shared" si="100"/>
        <v>1</v>
      </c>
      <c r="G412" s="6">
        <f t="shared" si="101"/>
        <v>1</v>
      </c>
      <c r="H412" s="6" t="b">
        <f t="shared" si="102"/>
        <v>1</v>
      </c>
      <c r="I412" s="6">
        <f t="shared" si="103"/>
        <v>1</v>
      </c>
    </row>
    <row r="413" spans="1:13" ht="17.25" thickBot="1" x14ac:dyDescent="0.35">
      <c r="B413" s="4"/>
      <c r="C413" s="4" t="s">
        <v>384</v>
      </c>
      <c r="D413" s="4" t="s">
        <v>384</v>
      </c>
      <c r="E413" s="4" t="s">
        <v>697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8" t="s">
        <v>700</v>
      </c>
      <c r="F414" s="6" t="b">
        <f t="shared" si="100"/>
        <v>0</v>
      </c>
      <c r="G414" s="6">
        <f t="shared" si="101"/>
        <v>0</v>
      </c>
      <c r="H414" s="6" t="b">
        <f t="shared" si="102"/>
        <v>1</v>
      </c>
      <c r="I414" s="6">
        <f t="shared" si="103"/>
        <v>1</v>
      </c>
    </row>
    <row r="415" spans="1:13" ht="17.25" thickBot="1" x14ac:dyDescent="0.35">
      <c r="B415" s="4"/>
      <c r="C415" s="4"/>
      <c r="D415" s="4"/>
      <c r="E415" s="4" t="s">
        <v>699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833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1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7" t="s">
        <v>701</v>
      </c>
      <c r="F417" s="6" t="b">
        <f t="shared" si="100"/>
        <v>1</v>
      </c>
      <c r="G417" s="6">
        <f t="shared" si="101"/>
        <v>1</v>
      </c>
      <c r="H417" s="6" t="b">
        <f t="shared" si="102"/>
        <v>1</v>
      </c>
      <c r="I417" s="6">
        <f t="shared" si="103"/>
        <v>1</v>
      </c>
    </row>
    <row r="418" spans="2:10" ht="17.25" thickBot="1" x14ac:dyDescent="0.35">
      <c r="B418" s="4"/>
      <c r="C418" s="4" t="s">
        <v>385</v>
      </c>
      <c r="D418" s="4" t="s">
        <v>385</v>
      </c>
      <c r="E418" s="8" t="s">
        <v>834</v>
      </c>
      <c r="F418" s="6" t="b">
        <f t="shared" si="100"/>
        <v>1</v>
      </c>
      <c r="G418" s="6">
        <f t="shared" si="101"/>
        <v>1</v>
      </c>
      <c r="H418" s="6" t="b">
        <f t="shared" si="102"/>
        <v>1</v>
      </c>
      <c r="I418" s="6">
        <f t="shared" si="103"/>
        <v>1</v>
      </c>
    </row>
    <row r="419" spans="2:10" ht="17.25" thickBot="1" x14ac:dyDescent="0.35">
      <c r="B419" s="4"/>
      <c r="C419" s="4"/>
      <c r="D419" s="4"/>
      <c r="E419" s="4" t="s">
        <v>702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703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697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1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835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830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692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836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837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838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839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8" t="s">
        <v>705</v>
      </c>
      <c r="F429" s="6" t="b">
        <f t="shared" si="100"/>
        <v>0</v>
      </c>
      <c r="G429" s="6">
        <f t="shared" si="101"/>
        <v>0</v>
      </c>
      <c r="H429" s="6" t="b">
        <f t="shared" si="102"/>
        <v>1</v>
      </c>
      <c r="I429" s="6">
        <f t="shared" si="103"/>
        <v>1</v>
      </c>
    </row>
    <row r="430" spans="2:10" ht="17.25" thickBot="1" x14ac:dyDescent="0.35">
      <c r="B430" s="4"/>
      <c r="C430" s="4"/>
      <c r="D430" s="4"/>
      <c r="E430" s="4" t="s">
        <v>706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704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1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473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8" t="s">
        <v>707</v>
      </c>
      <c r="F433" s="6" t="b">
        <f t="shared" si="100"/>
        <v>0</v>
      </c>
      <c r="G433" s="6">
        <f t="shared" si="101"/>
        <v>0</v>
      </c>
      <c r="H433" s="6" t="b">
        <f t="shared" si="102"/>
        <v>1</v>
      </c>
      <c r="I433" s="6">
        <f t="shared" si="103"/>
        <v>1</v>
      </c>
    </row>
    <row r="434" spans="2:10" ht="17.25" thickBot="1" x14ac:dyDescent="0.35">
      <c r="B434" s="4"/>
      <c r="C434" s="4"/>
      <c r="D434" s="4"/>
      <c r="E434" s="4" t="s">
        <v>702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708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474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1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709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710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103"/>
        <v>1</v>
      </c>
    </row>
    <row r="439" spans="2:10" ht="17.25" thickBot="1" x14ac:dyDescent="0.35">
      <c r="B439" s="4"/>
      <c r="C439" s="4" t="s">
        <v>456</v>
      </c>
      <c r="E439" s="4" t="s">
        <v>711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840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706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1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712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713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841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842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843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1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7" t="s">
        <v>714</v>
      </c>
      <c r="F447" s="6" t="b">
        <f t="shared" si="100"/>
        <v>1</v>
      </c>
      <c r="G447" s="6">
        <f t="shared" si="101"/>
        <v>1</v>
      </c>
      <c r="H447" s="6" t="b">
        <f t="shared" si="102"/>
        <v>1</v>
      </c>
      <c r="I447" s="6">
        <f t="shared" si="103"/>
        <v>1</v>
      </c>
    </row>
    <row r="448" spans="2:10" ht="17.25" thickBot="1" x14ac:dyDescent="0.35">
      <c r="B448" s="4"/>
      <c r="C448" s="4"/>
      <c r="D448" s="4"/>
      <c r="E448" s="4" t="s">
        <v>715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844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716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845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1</v>
      </c>
      <c r="K451">
        <f>SUM(J402:J451)</f>
        <v>9</v>
      </c>
      <c r="M451">
        <f>SUM(I402:I451)</f>
        <v>14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717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517</v>
      </c>
      <c r="F453" s="6" t="b">
        <f t="shared" si="116"/>
        <v>1</v>
      </c>
      <c r="G453" s="6">
        <f t="shared" si="117"/>
        <v>1</v>
      </c>
      <c r="H453" s="6" t="b">
        <f t="shared" si="118"/>
        <v>1</v>
      </c>
      <c r="I453" s="6">
        <f t="shared" si="119"/>
        <v>1</v>
      </c>
    </row>
    <row r="454" spans="1:13" ht="17.25" thickBot="1" x14ac:dyDescent="0.35">
      <c r="B454" s="4"/>
      <c r="C454" s="4" t="s">
        <v>452</v>
      </c>
      <c r="E454" s="4" t="s">
        <v>718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464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1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518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3" ht="17.25" thickBot="1" x14ac:dyDescent="0.35">
      <c r="B458" s="4"/>
      <c r="C458" s="4" t="s">
        <v>445</v>
      </c>
      <c r="D458" s="4"/>
      <c r="E458" s="4" t="s">
        <v>719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717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517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465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1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719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467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8" t="s">
        <v>465</v>
      </c>
      <c r="F464" s="6" t="b">
        <f t="shared" si="116"/>
        <v>0</v>
      </c>
      <c r="G464" s="6">
        <f t="shared" si="117"/>
        <v>0</v>
      </c>
      <c r="H464" s="6" t="b">
        <f t="shared" si="118"/>
        <v>1</v>
      </c>
      <c r="I464" s="6">
        <f t="shared" si="119"/>
        <v>1</v>
      </c>
    </row>
    <row r="465" spans="2:10" ht="17.25" thickBot="1" x14ac:dyDescent="0.35">
      <c r="B465" s="4"/>
      <c r="C465" s="4"/>
      <c r="D465" s="4"/>
      <c r="E465" s="4" t="s">
        <v>720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519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1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721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517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8" t="s">
        <v>719</v>
      </c>
      <c r="F469" s="6" t="b">
        <f t="shared" si="116"/>
        <v>0</v>
      </c>
      <c r="G469" s="6">
        <f t="shared" si="117"/>
        <v>0</v>
      </c>
      <c r="H469" s="6" t="b">
        <f t="shared" si="118"/>
        <v>1</v>
      </c>
      <c r="I469" s="6">
        <f t="shared" si="119"/>
        <v>1</v>
      </c>
    </row>
    <row r="470" spans="2:10" ht="17.25" thickBot="1" x14ac:dyDescent="0.35">
      <c r="B470" s="4"/>
      <c r="C470" s="4"/>
      <c r="D470" s="4"/>
      <c r="E470" s="4" t="s">
        <v>722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467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1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6" t="s">
        <v>719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517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9"/>
        <v>1</v>
      </c>
    </row>
    <row r="474" spans="2:10" ht="17.25" thickBot="1" x14ac:dyDescent="0.35">
      <c r="B474" s="4"/>
      <c r="C474" s="4"/>
      <c r="D474" s="4"/>
      <c r="E474" s="8" t="s">
        <v>717</v>
      </c>
      <c r="F474" s="6" t="b">
        <f t="shared" si="116"/>
        <v>0</v>
      </c>
      <c r="G474" s="6">
        <f t="shared" si="117"/>
        <v>0</v>
      </c>
      <c r="H474" s="6" t="b">
        <f t="shared" si="118"/>
        <v>1</v>
      </c>
      <c r="I474" s="6">
        <f t="shared" si="119"/>
        <v>1</v>
      </c>
    </row>
    <row r="475" spans="2:10" ht="17.25" thickBot="1" x14ac:dyDescent="0.35">
      <c r="B475" s="4"/>
      <c r="C475" s="4"/>
      <c r="D475" s="4"/>
      <c r="E475" s="4" t="s">
        <v>718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1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6" t="s">
        <v>723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8" t="s">
        <v>721</v>
      </c>
      <c r="F478" s="6" t="b">
        <f t="shared" si="116"/>
        <v>1</v>
      </c>
      <c r="G478" s="6">
        <f t="shared" si="117"/>
        <v>1</v>
      </c>
      <c r="H478" s="6" t="b">
        <f t="shared" si="118"/>
        <v>1</v>
      </c>
      <c r="I478" s="6">
        <f t="shared" si="119"/>
        <v>1</v>
      </c>
    </row>
    <row r="479" spans="2:10" ht="17.25" thickBot="1" x14ac:dyDescent="0.35">
      <c r="B479" s="4"/>
      <c r="C479" s="4"/>
      <c r="D479" s="4"/>
      <c r="E479" s="4" t="s">
        <v>517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719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519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1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724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291</v>
      </c>
      <c r="D483" s="4" t="s">
        <v>406</v>
      </c>
      <c r="E483" s="8" t="s">
        <v>479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9"/>
        <v>1</v>
      </c>
    </row>
    <row r="484" spans="2:10" ht="17.25" thickBot="1" x14ac:dyDescent="0.35">
      <c r="B484" s="4"/>
      <c r="C484" s="4"/>
      <c r="D484" s="4"/>
      <c r="E484" s="4" t="s">
        <v>465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719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1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520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722</v>
      </c>
      <c r="F488" s="6" t="b">
        <f t="shared" si="116"/>
        <v>1</v>
      </c>
      <c r="G488" s="6">
        <f t="shared" si="117"/>
        <v>1</v>
      </c>
      <c r="H488" s="6" t="b">
        <f t="shared" si="118"/>
        <v>1</v>
      </c>
      <c r="I488" s="6">
        <f t="shared" si="119"/>
        <v>1</v>
      </c>
    </row>
    <row r="489" spans="2:10" ht="17.25" thickBot="1" x14ac:dyDescent="0.35">
      <c r="B489" s="4"/>
      <c r="C489" s="4"/>
      <c r="D489" s="4"/>
      <c r="E489" s="4" t="s">
        <v>725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726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518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1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719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8" t="s">
        <v>727</v>
      </c>
      <c r="F493" s="6" t="b">
        <f t="shared" si="116"/>
        <v>1</v>
      </c>
      <c r="G493" s="6">
        <f t="shared" si="117"/>
        <v>1</v>
      </c>
      <c r="H493" s="6" t="b">
        <f t="shared" si="118"/>
        <v>1</v>
      </c>
      <c r="I493" s="6">
        <f t="shared" si="119"/>
        <v>1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724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479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520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1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721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9"/>
        <v>1</v>
      </c>
    </row>
    <row r="498" spans="2:13" ht="17.25" thickBot="1" x14ac:dyDescent="0.35">
      <c r="B498" s="4"/>
      <c r="C498" s="4"/>
      <c r="D498" s="4"/>
      <c r="E498" s="4" t="s">
        <v>517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719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723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518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1</v>
      </c>
      <c r="K501">
        <f>SUM(J452:J501)</f>
        <v>10</v>
      </c>
      <c r="M501">
        <f>SUM(I452:I501)</f>
        <v>15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150</v>
      </c>
      <c r="K503">
        <f>J502/100</f>
        <v>0</v>
      </c>
    </row>
    <row r="504" spans="2:13" x14ac:dyDescent="0.3">
      <c r="G504">
        <f>I503/G503%</f>
        <v>73.170731707317074</v>
      </c>
      <c r="I504" s="13"/>
      <c r="J504">
        <f>SUM(J2:J501)</f>
        <v>90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2025-07-15T04:59:59Z</dcterms:modified>
</cp:coreProperties>
</file>