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F479A74C-B20E-409D-981B-4BDC2BD7971F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H413" i="1"/>
  <c r="H323" i="1"/>
  <c r="J406" i="1"/>
  <c r="H276" i="1"/>
  <c r="H314" i="1"/>
  <c r="H104" i="1"/>
  <c r="H219" i="1"/>
  <c r="H423" i="1"/>
  <c r="H255" i="1"/>
  <c r="H425" i="1"/>
  <c r="H6" i="1"/>
  <c r="H216" i="1"/>
  <c r="H377" i="1"/>
  <c r="H389" i="1"/>
  <c r="H239" i="1"/>
  <c r="H281" i="1"/>
  <c r="H42" i="1"/>
  <c r="H21" i="1"/>
  <c r="H224" i="1"/>
  <c r="H45" i="1"/>
  <c r="H361" i="1"/>
  <c r="J126" i="1"/>
  <c r="H432" i="1"/>
  <c r="H43" i="1"/>
  <c r="H176" i="1"/>
  <c r="H426" i="1"/>
  <c r="H83" i="1"/>
  <c r="H486" i="1"/>
  <c r="H142" i="1"/>
  <c r="H487" i="1"/>
  <c r="J246" i="1"/>
  <c r="H235" i="1"/>
  <c r="H286" i="1"/>
  <c r="H67" i="1"/>
  <c r="J176" i="1"/>
  <c r="H365" i="1"/>
  <c r="H386" i="1"/>
  <c r="H121" i="1"/>
  <c r="H403" i="1"/>
  <c r="H269" i="1"/>
  <c r="H300" i="1"/>
  <c r="H309" i="1"/>
  <c r="H174" i="1"/>
  <c r="J81" i="1"/>
  <c r="J206" i="1"/>
  <c r="H372" i="1"/>
  <c r="H247" i="1"/>
  <c r="H46" i="1"/>
  <c r="H418" i="1"/>
  <c r="J311" i="1"/>
  <c r="H391" i="1"/>
  <c r="H100" i="1"/>
  <c r="H94" i="1"/>
  <c r="H399" i="1"/>
  <c r="H445" i="1"/>
  <c r="H181" i="1"/>
  <c r="H5" i="1"/>
  <c r="H190" i="1"/>
  <c r="H342" i="1"/>
  <c r="J481" i="1"/>
  <c r="H350" i="1"/>
  <c r="H141" i="1"/>
  <c r="H264" i="1"/>
  <c r="H113" i="1"/>
  <c r="H155" i="1"/>
  <c r="H429" i="1"/>
  <c r="H240" i="1"/>
  <c r="H364" i="1"/>
  <c r="H349" i="1"/>
  <c r="J91" i="1"/>
  <c r="H492" i="1"/>
  <c r="H192" i="1"/>
  <c r="H158" i="1"/>
  <c r="H214" i="1"/>
  <c r="H291" i="1"/>
  <c r="H177" i="1"/>
  <c r="H55" i="1"/>
  <c r="H86" i="1"/>
  <c r="J251" i="1"/>
  <c r="H36" i="1"/>
  <c r="H448" i="1"/>
  <c r="H57" i="1"/>
  <c r="H369" i="1"/>
  <c r="H149" i="1"/>
  <c r="H210" i="1"/>
  <c r="H97" i="1"/>
  <c r="H186" i="1"/>
  <c r="J196" i="1"/>
  <c r="J96" i="1"/>
  <c r="J241" i="1"/>
  <c r="H205" i="1"/>
  <c r="H401" i="1"/>
  <c r="H477" i="1"/>
  <c r="J411" i="1"/>
  <c r="J491" i="1"/>
  <c r="J21" i="1"/>
  <c r="J131" i="1"/>
  <c r="H443" i="1"/>
  <c r="H96" i="1"/>
  <c r="H130" i="1"/>
  <c r="J71" i="1"/>
  <c r="H185" i="1"/>
  <c r="J431" i="1"/>
  <c r="H124" i="1"/>
  <c r="H209" i="1"/>
  <c r="H136" i="1"/>
  <c r="H444" i="1"/>
  <c r="H49" i="1"/>
  <c r="H207" i="1"/>
  <c r="H283" i="1"/>
  <c r="H12" i="1"/>
  <c r="H270" i="1"/>
  <c r="H78" i="1"/>
  <c r="H146" i="1"/>
  <c r="H419" i="1"/>
  <c r="H460" i="1"/>
  <c r="J426" i="1"/>
  <c r="H18" i="1"/>
  <c r="H493" i="1"/>
  <c r="J296" i="1"/>
  <c r="H90" i="1"/>
  <c r="H496" i="1"/>
  <c r="H166" i="1"/>
  <c r="H232" i="1"/>
  <c r="H27" i="1"/>
  <c r="H469" i="1"/>
  <c r="H441" i="1"/>
  <c r="H290" i="1"/>
  <c r="H151" i="1"/>
  <c r="H62" i="1"/>
  <c r="H61" i="1"/>
  <c r="H189" i="1"/>
  <c r="H362" i="1"/>
  <c r="H110" i="1"/>
  <c r="H218" i="1"/>
  <c r="H131" i="1"/>
  <c r="H122" i="1"/>
  <c r="H289" i="1"/>
  <c r="J421" i="1"/>
  <c r="J166" i="1"/>
  <c r="H287" i="1"/>
  <c r="H161" i="1"/>
  <c r="J61" i="1"/>
  <c r="H315" i="1"/>
  <c r="H475" i="1"/>
  <c r="H452" i="1"/>
  <c r="H465" i="1"/>
  <c r="H237" i="1"/>
  <c r="H461" i="1"/>
  <c r="H164" i="1"/>
  <c r="H35" i="1"/>
  <c r="H114" i="1"/>
  <c r="H13" i="1"/>
  <c r="H251" i="1"/>
  <c r="H242" i="1"/>
  <c r="H179" i="1"/>
  <c r="H321" i="1"/>
  <c r="H416" i="1"/>
  <c r="H490" i="1"/>
  <c r="J26" i="1"/>
  <c r="H106" i="1"/>
  <c r="H70" i="1"/>
  <c r="J256" i="1"/>
  <c r="H183" i="1"/>
  <c r="H318" i="1"/>
  <c r="H63" i="1"/>
  <c r="H402" i="1"/>
  <c r="H482" i="1"/>
  <c r="H206" i="1"/>
  <c r="H39" i="1"/>
  <c r="H279" i="1"/>
  <c r="H245" i="1"/>
  <c r="J16" i="1"/>
  <c r="H163" i="1"/>
  <c r="H427" i="1"/>
  <c r="H311" i="1"/>
  <c r="H305" i="1"/>
  <c r="H157" i="1"/>
  <c r="H24" i="1"/>
  <c r="H81" i="1"/>
  <c r="H53" i="1"/>
  <c r="H344" i="1"/>
  <c r="H20" i="1"/>
  <c r="H385" i="1"/>
  <c r="H306" i="1"/>
  <c r="H370" i="1"/>
  <c r="H129" i="1"/>
  <c r="J76" i="1"/>
  <c r="H335" i="1"/>
  <c r="H254" i="1"/>
  <c r="J291" i="1"/>
  <c r="H468" i="1"/>
  <c r="J336" i="1"/>
  <c r="H337" i="1"/>
  <c r="H59" i="1"/>
  <c r="H120" i="1"/>
  <c r="H339" i="1"/>
  <c r="H330" i="1"/>
  <c r="J476" i="1"/>
  <c r="H357" i="1"/>
  <c r="H363" i="1"/>
  <c r="J191" i="1"/>
  <c r="H424" i="1"/>
  <c r="H351" i="1"/>
  <c r="H272" i="1"/>
  <c r="H145" i="1"/>
  <c r="J321" i="1"/>
  <c r="H396" i="1"/>
  <c r="H108" i="1"/>
  <c r="H132" i="1"/>
  <c r="H375" i="1"/>
  <c r="H420" i="1"/>
  <c r="H412" i="1"/>
  <c r="H80" i="1"/>
  <c r="J11" i="1"/>
  <c r="H261" i="1"/>
  <c r="H64" i="1"/>
  <c r="H322" i="1"/>
  <c r="H133" i="1"/>
  <c r="H188" i="1"/>
  <c r="H348" i="1"/>
  <c r="H478" i="1"/>
  <c r="H304" i="1"/>
  <c r="H395" i="1"/>
  <c r="H85" i="1"/>
  <c r="H308" i="1"/>
  <c r="H404" i="1"/>
  <c r="H71" i="1"/>
  <c r="H238" i="1"/>
  <c r="H211" i="1"/>
  <c r="H178" i="1"/>
  <c r="H72" i="1"/>
  <c r="H128" i="1"/>
  <c r="H273" i="1"/>
  <c r="J351" i="1"/>
  <c r="J161" i="1"/>
  <c r="H345" i="1"/>
  <c r="J266" i="1"/>
  <c r="H280" i="1"/>
  <c r="H381" i="1"/>
  <c r="H23" i="1"/>
  <c r="H405" i="1"/>
  <c r="H472" i="1"/>
  <c r="H371" i="1"/>
  <c r="H271" i="1"/>
  <c r="H74" i="1"/>
  <c r="H358" i="1"/>
  <c r="H125" i="1"/>
  <c r="H480" i="1"/>
  <c r="H325" i="1"/>
  <c r="H221" i="1"/>
  <c r="J46" i="1"/>
  <c r="J286" i="1"/>
  <c r="H453" i="1"/>
  <c r="H313" i="1"/>
  <c r="J36" i="1"/>
  <c r="H37" i="1"/>
  <c r="H112" i="1"/>
  <c r="H105" i="1"/>
  <c r="H118" i="1"/>
  <c r="J366" i="1"/>
  <c r="H257" i="1"/>
  <c r="J376" i="1"/>
  <c r="H397" i="1"/>
  <c r="H52" i="1"/>
  <c r="J101" i="1"/>
  <c r="J461" i="1"/>
  <c r="J356" i="1"/>
  <c r="H69" i="1"/>
  <c r="H275" i="1"/>
  <c r="H152" i="1"/>
  <c r="H140" i="1"/>
  <c r="H417" i="1"/>
  <c r="H483" i="1"/>
  <c r="H169" i="1"/>
  <c r="H473" i="1"/>
  <c r="H471" i="1"/>
  <c r="H296" i="1"/>
  <c r="H319" i="1"/>
  <c r="H459" i="1"/>
  <c r="H148" i="1"/>
  <c r="H394" i="1"/>
  <c r="H2" i="1"/>
  <c r="J56" i="1"/>
  <c r="H200" i="1"/>
  <c r="H123" i="1"/>
  <c r="H212" i="1"/>
  <c r="H451" i="1"/>
  <c r="H51" i="1"/>
  <c r="H455" i="1"/>
  <c r="H99" i="1"/>
  <c r="J31" i="1"/>
  <c r="H390" i="1"/>
  <c r="H4" i="1"/>
  <c r="H293" i="1"/>
  <c r="H153" i="1"/>
  <c r="H353" i="1"/>
  <c r="H26" i="1"/>
  <c r="H415" i="1"/>
  <c r="J261" i="1"/>
  <c r="H374" i="1"/>
  <c r="J341" i="1"/>
  <c r="J401" i="1"/>
  <c r="J381" i="1"/>
  <c r="H134" i="1"/>
  <c r="H278" i="1"/>
  <c r="H25" i="1"/>
  <c r="H428" i="1"/>
  <c r="H263" i="1"/>
  <c r="J221" i="1"/>
  <c r="J416" i="1"/>
  <c r="J201" i="1"/>
  <c r="H450" i="1"/>
  <c r="H356" i="1"/>
  <c r="H147" i="1"/>
  <c r="H40" i="1"/>
  <c r="H79" i="1"/>
  <c r="H115" i="1"/>
  <c r="H406" i="1"/>
  <c r="H398" i="1"/>
  <c r="H294" i="1"/>
  <c r="H228" i="1"/>
  <c r="J141" i="1"/>
  <c r="J106" i="1"/>
  <c r="H355" i="1"/>
  <c r="J446" i="1"/>
  <c r="H137" i="1"/>
  <c r="H277" i="1"/>
  <c r="H326" i="1"/>
  <c r="H89" i="1"/>
  <c r="H328" i="1"/>
  <c r="H303" i="1"/>
  <c r="J51" i="1"/>
  <c r="H229" i="1"/>
  <c r="H316" i="1"/>
  <c r="H41" i="1"/>
  <c r="H28" i="1"/>
  <c r="H400" i="1"/>
  <c r="H208" i="1"/>
  <c r="H150" i="1"/>
  <c r="H126" i="1"/>
  <c r="H234" i="1"/>
  <c r="H168" i="1"/>
  <c r="H77" i="1"/>
  <c r="H410" i="1"/>
  <c r="H329" i="1"/>
  <c r="H203" i="1"/>
  <c r="J151" i="1"/>
  <c r="J306" i="1"/>
  <c r="H436" i="1"/>
  <c r="J501" i="1"/>
  <c r="J171" i="1"/>
  <c r="J471" i="1"/>
  <c r="H91" i="1"/>
  <c r="H347" i="1"/>
  <c r="H359" i="1"/>
  <c r="H87" i="1"/>
  <c r="H47" i="1"/>
  <c r="H387" i="1"/>
  <c r="J211" i="1"/>
  <c r="J181" i="1"/>
  <c r="H204" i="1"/>
  <c r="H327" i="1"/>
  <c r="H88" i="1"/>
  <c r="H172" i="1"/>
  <c r="H378" i="1"/>
  <c r="H341" i="1"/>
  <c r="H250" i="1"/>
  <c r="J486" i="1"/>
  <c r="J281" i="1"/>
  <c r="H320" i="1"/>
  <c r="H56" i="1"/>
  <c r="H317" i="1"/>
  <c r="H431" i="1"/>
  <c r="H438" i="1"/>
  <c r="H407" i="1"/>
  <c r="H421" i="1"/>
  <c r="H236" i="1"/>
  <c r="H8" i="1"/>
  <c r="H458" i="1"/>
  <c r="H494" i="1"/>
  <c r="H243" i="1"/>
  <c r="H223" i="1"/>
  <c r="H470" i="1"/>
  <c r="H495" i="1"/>
  <c r="H332" i="1"/>
  <c r="J41" i="1"/>
  <c r="H274" i="1"/>
  <c r="H144" i="1"/>
  <c r="H422" i="1"/>
  <c r="H331" i="1"/>
  <c r="H392" i="1"/>
  <c r="H50" i="1"/>
  <c r="J216" i="1"/>
  <c r="H187" i="1"/>
  <c r="H457" i="1"/>
  <c r="J186" i="1"/>
  <c r="H84" i="1"/>
  <c r="J371" i="1"/>
  <c r="H154" i="1"/>
  <c r="H282" i="1"/>
  <c r="H260" i="1"/>
  <c r="H213" i="1"/>
  <c r="H481" i="1"/>
  <c r="H138" i="1"/>
  <c r="H48" i="1"/>
  <c r="H101" i="1"/>
  <c r="H439" i="1"/>
  <c r="H449" i="1"/>
  <c r="H393" i="1"/>
  <c r="H227" i="1"/>
  <c r="H170" i="1"/>
  <c r="H160" i="1"/>
  <c r="H266" i="1"/>
  <c r="H103" i="1"/>
  <c r="H292" i="1"/>
  <c r="H194" i="1"/>
  <c r="H135" i="1"/>
  <c r="H117" i="1"/>
  <c r="H252" i="1"/>
  <c r="J391" i="1"/>
  <c r="H198" i="1"/>
  <c r="H222" i="1"/>
  <c r="H29" i="1"/>
  <c r="H22" i="1"/>
  <c r="H256" i="1"/>
  <c r="H184" i="1"/>
  <c r="H408" i="1"/>
  <c r="H38" i="1"/>
  <c r="H259" i="1"/>
  <c r="H336" i="1"/>
  <c r="H139" i="1"/>
  <c r="H182" i="1"/>
  <c r="H143" i="1"/>
  <c r="H479" i="1"/>
  <c r="H180" i="1"/>
  <c r="H298" i="1"/>
  <c r="H201" i="1"/>
  <c r="H93" i="1"/>
  <c r="H102" i="1"/>
  <c r="H382" i="1"/>
  <c r="H500" i="1"/>
  <c r="H14" i="1"/>
  <c r="H383" i="1"/>
  <c r="H68" i="1"/>
  <c r="H324" i="1"/>
  <c r="H440" i="1"/>
  <c r="H244" i="1"/>
  <c r="H191" i="1"/>
  <c r="H312" i="1"/>
  <c r="H376" i="1"/>
  <c r="H19" i="1"/>
  <c r="H467" i="1"/>
  <c r="H75" i="1"/>
  <c r="H360" i="1"/>
  <c r="H409" i="1"/>
  <c r="H107" i="1"/>
  <c r="H366" i="1"/>
  <c r="H488" i="1"/>
  <c r="H499" i="1"/>
  <c r="J361" i="1"/>
  <c r="H248" i="1"/>
  <c r="H54" i="1"/>
  <c r="J326" i="1"/>
  <c r="H246" i="1"/>
  <c r="H33" i="1"/>
  <c r="H346" i="1"/>
  <c r="H199" i="1"/>
  <c r="H262" i="1"/>
  <c r="H380" i="1"/>
  <c r="H463" i="1"/>
  <c r="H295" i="1"/>
  <c r="H464" i="1"/>
  <c r="H73" i="1"/>
  <c r="H119" i="1"/>
  <c r="J316" i="1"/>
  <c r="H302" i="1"/>
  <c r="H225" i="1"/>
  <c r="H484" i="1"/>
  <c r="H498" i="1"/>
  <c r="H30" i="1"/>
  <c r="H268" i="1"/>
  <c r="H433" i="1"/>
  <c r="J386" i="1"/>
  <c r="H437" i="1"/>
  <c r="H98" i="1"/>
  <c r="H241" i="1"/>
  <c r="J121" i="1"/>
  <c r="H414" i="1"/>
  <c r="H485" i="1"/>
  <c r="H195" i="1"/>
  <c r="H474" i="1"/>
  <c r="H197" i="1"/>
  <c r="H333" i="1"/>
  <c r="H411" i="1"/>
  <c r="H434" i="1"/>
  <c r="H446" i="1"/>
  <c r="H343" i="1"/>
  <c r="H171" i="1"/>
  <c r="H60" i="1"/>
  <c r="H368" i="1"/>
  <c r="H288" i="1"/>
  <c r="H111" i="1"/>
  <c r="H435" i="1"/>
  <c r="H173" i="1"/>
  <c r="H226" i="1"/>
  <c r="J441" i="1"/>
  <c r="J271" i="1"/>
  <c r="H66" i="1"/>
  <c r="J436" i="1"/>
  <c r="J136" i="1"/>
  <c r="H159" i="1"/>
  <c r="H10" i="1"/>
  <c r="H249" i="1"/>
  <c r="H373" i="1"/>
  <c r="H299" i="1"/>
  <c r="J6" i="1"/>
  <c r="H65" i="1"/>
  <c r="J236" i="1"/>
  <c r="H253" i="1"/>
  <c r="J86" i="1"/>
  <c r="H16" i="1"/>
  <c r="H430" i="1"/>
  <c r="J346" i="1"/>
  <c r="H109" i="1"/>
  <c r="H167" i="1"/>
  <c r="H215" i="1"/>
  <c r="H156" i="1"/>
  <c r="J111" i="1"/>
  <c r="H127" i="1"/>
  <c r="H442" i="1"/>
  <c r="H9" i="1"/>
  <c r="H196" i="1"/>
  <c r="J66" i="1"/>
  <c r="H233" i="1"/>
  <c r="H58" i="1"/>
  <c r="H338" i="1"/>
  <c r="H230" i="1"/>
  <c r="H454" i="1"/>
  <c r="J156" i="1"/>
  <c r="H352" i="1"/>
  <c r="J396" i="1"/>
  <c r="H92" i="1"/>
  <c r="H44" i="1"/>
  <c r="J496" i="1"/>
  <c r="J456" i="1"/>
  <c r="H307" i="1"/>
  <c r="H258" i="1"/>
  <c r="H447" i="1"/>
  <c r="H388" i="1"/>
  <c r="H220" i="1"/>
  <c r="H82" i="1"/>
  <c r="H265" i="1"/>
  <c r="H202" i="1"/>
  <c r="H466" i="1"/>
  <c r="H310" i="1"/>
  <c r="H7" i="1"/>
  <c r="H31" i="1"/>
  <c r="H3" i="1"/>
  <c r="H76" i="1"/>
  <c r="J331" i="1"/>
  <c r="J226" i="1"/>
  <c r="H489" i="1"/>
  <c r="H497" i="1"/>
  <c r="H116" i="1"/>
  <c r="H17" i="1"/>
  <c r="H11" i="1"/>
  <c r="H301" i="1"/>
  <c r="H175" i="1"/>
  <c r="H501" i="1"/>
  <c r="H193" i="1"/>
  <c r="H491" i="1"/>
  <c r="H340" i="1"/>
  <c r="H284" i="1"/>
  <c r="J146" i="1"/>
  <c r="H297" i="1"/>
  <c r="H456" i="1"/>
  <c r="H285" i="1"/>
  <c r="H95" i="1"/>
  <c r="H367" i="1"/>
  <c r="J451" i="1"/>
  <c r="J466" i="1"/>
  <c r="H162" i="1"/>
  <c r="J116" i="1"/>
  <c r="H15" i="1"/>
  <c r="H476" i="1"/>
  <c r="H165" i="1"/>
  <c r="H231" i="1"/>
  <c r="H267" i="1"/>
  <c r="J231" i="1"/>
  <c r="H354" i="1"/>
  <c r="H32" i="1"/>
  <c r="H379" i="1"/>
  <c r="H462" i="1"/>
  <c r="H334" i="1"/>
  <c r="J276" i="1"/>
  <c r="H384" i="1"/>
  <c r="H34" i="1"/>
  <c r="J301" i="1"/>
  <c r="H217" i="1"/>
  <c r="I450" i="1" l="1"/>
  <c r="I43" i="1"/>
  <c r="I428" i="1"/>
  <c r="I474" i="1"/>
  <c r="I92" i="1"/>
  <c r="I456" i="1"/>
  <c r="I484" i="1"/>
  <c r="I143" i="1"/>
  <c r="I225" i="1"/>
  <c r="I390" i="1"/>
  <c r="I47" i="1"/>
  <c r="I129" i="1"/>
  <c r="I372" i="1"/>
  <c r="I208" i="1"/>
  <c r="I2" i="1"/>
  <c r="I475" i="1"/>
  <c r="I309" i="1"/>
  <c r="I190" i="1"/>
  <c r="I394" i="1"/>
  <c r="I54" i="1"/>
  <c r="I35" i="1"/>
  <c r="I497" i="1"/>
  <c r="I429" i="1"/>
  <c r="I169" i="1"/>
  <c r="I204" i="1"/>
  <c r="I166" i="1"/>
  <c r="I5" i="1"/>
  <c r="I73" i="1"/>
  <c r="I178" i="1"/>
  <c r="I151" i="1"/>
  <c r="I496" i="1"/>
  <c r="I239" i="1"/>
  <c r="I156" i="1"/>
  <c r="I133" i="1"/>
  <c r="I13" i="1"/>
  <c r="I216" i="1"/>
  <c r="I292" i="1"/>
  <c r="I494" i="1"/>
  <c r="I201" i="1"/>
  <c r="I458" i="1"/>
  <c r="I107" i="1"/>
  <c r="I153" i="1"/>
  <c r="I196" i="1"/>
  <c r="I288" i="1"/>
  <c r="I139" i="1"/>
  <c r="I392" i="1"/>
  <c r="I4" i="1"/>
  <c r="I191" i="1"/>
  <c r="I451" i="1"/>
  <c r="I368" i="1"/>
  <c r="I374" i="1"/>
  <c r="I495" i="1"/>
  <c r="I95" i="1"/>
  <c r="I12" i="1"/>
  <c r="I346" i="1"/>
  <c r="I359" i="1"/>
  <c r="I449" i="1"/>
  <c r="I447" i="1"/>
  <c r="I500" i="1"/>
  <c r="I403" i="1"/>
  <c r="I109" i="1"/>
  <c r="I463" i="1"/>
  <c r="I56" i="1"/>
  <c r="I257" i="1"/>
  <c r="I255" i="1"/>
  <c r="I336" i="1"/>
  <c r="I14" i="1"/>
  <c r="I83" i="1"/>
  <c r="I434" i="1"/>
  <c r="I487" i="1"/>
  <c r="I245" i="1"/>
  <c r="I243" i="1"/>
  <c r="I265" i="1"/>
  <c r="I476" i="1"/>
  <c r="I61" i="1"/>
  <c r="I415" i="1"/>
  <c r="I469" i="1"/>
  <c r="I233" i="1"/>
  <c r="I231" i="1"/>
  <c r="I34" i="1"/>
  <c r="I320" i="1"/>
  <c r="I441" i="1"/>
  <c r="I344" i="1"/>
  <c r="I294" i="1"/>
  <c r="I221" i="1"/>
  <c r="I184" i="1"/>
  <c r="I335" i="1"/>
  <c r="I355" i="1"/>
  <c r="I379" i="1"/>
  <c r="I465" i="1"/>
  <c r="I298" i="1"/>
  <c r="I426" i="1"/>
  <c r="I439" i="1"/>
  <c r="I228" i="1"/>
  <c r="I209" i="1"/>
  <c r="I172" i="1"/>
  <c r="I356" i="1"/>
  <c r="I26" i="1"/>
  <c r="I380" i="1"/>
  <c r="I492" i="1"/>
  <c r="I212" i="1"/>
  <c r="I223" i="1"/>
  <c r="I215" i="1"/>
  <c r="I85" i="1"/>
  <c r="I413" i="1"/>
  <c r="I376" i="1"/>
  <c r="I411" i="1"/>
  <c r="I270" i="1"/>
  <c r="I313" i="1"/>
  <c r="I306" i="1"/>
  <c r="I466" i="1"/>
  <c r="I142" i="1"/>
  <c r="I194" i="1"/>
  <c r="I90" i="1"/>
  <c r="I70" i="1"/>
  <c r="I401" i="1"/>
  <c r="I364" i="1"/>
  <c r="I399" i="1"/>
  <c r="I289" i="1"/>
  <c r="I218" i="1"/>
  <c r="I210" i="1"/>
  <c r="I349" i="1"/>
  <c r="I322" i="1"/>
  <c r="I94" i="1"/>
  <c r="I106" i="1"/>
  <c r="I345" i="1"/>
  <c r="I24" i="1"/>
  <c r="I182" i="1"/>
  <c r="I343" i="1"/>
  <c r="I468" i="1"/>
  <c r="I180" i="1"/>
  <c r="I389" i="1"/>
  <c r="I101" i="1"/>
  <c r="I136" i="1"/>
  <c r="I351" i="1"/>
  <c r="I99" i="1"/>
  <c r="I193" i="1"/>
  <c r="I78" i="1"/>
  <c r="I240" i="1"/>
  <c r="I122" i="1"/>
  <c r="I259" i="1"/>
  <c r="I188" i="1"/>
  <c r="I235" i="1"/>
  <c r="I323" i="1"/>
  <c r="I300" i="1"/>
  <c r="I369" i="1"/>
  <c r="I68" i="1"/>
  <c r="I80" i="1"/>
  <c r="I146" i="1"/>
  <c r="I330" i="1"/>
  <c r="I455" i="1"/>
  <c r="I167" i="1"/>
  <c r="I325" i="1"/>
  <c r="I453" i="1"/>
  <c r="I117" i="1"/>
  <c r="I377" i="1"/>
  <c r="I89" i="1"/>
  <c r="I340" i="1"/>
  <c r="I88" i="1"/>
  <c r="I303" i="1"/>
  <c r="I87" i="1"/>
  <c r="I97" i="1"/>
  <c r="I337" i="1"/>
  <c r="I144" i="1"/>
  <c r="I20" i="1"/>
  <c r="I237" i="1"/>
  <c r="I162" i="1"/>
  <c r="I206" i="1"/>
  <c r="I301" i="1"/>
  <c r="I274" i="1"/>
  <c r="I347" i="1"/>
  <c r="I46" i="1"/>
  <c r="I58" i="1"/>
  <c r="I127" i="1"/>
  <c r="I312" i="1"/>
  <c r="I440" i="1"/>
  <c r="I152" i="1"/>
  <c r="I310" i="1"/>
  <c r="I438" i="1"/>
  <c r="I102" i="1"/>
  <c r="I365" i="1"/>
  <c r="I77" i="1"/>
  <c r="I328" i="1"/>
  <c r="I76" i="1"/>
  <c r="I291" i="1"/>
  <c r="I75" i="1"/>
  <c r="I82" i="1"/>
  <c r="I454" i="1"/>
  <c r="I430" i="1"/>
  <c r="I11" i="1"/>
  <c r="I230" i="1"/>
  <c r="I433" i="1"/>
  <c r="I397" i="1"/>
  <c r="I105" i="1"/>
  <c r="I366" i="1"/>
  <c r="I371" i="1"/>
  <c r="I200" i="1"/>
  <c r="I174" i="1"/>
  <c r="I187" i="1"/>
  <c r="I31" i="1"/>
  <c r="I98" i="1"/>
  <c r="I422" i="1"/>
  <c r="I134" i="1"/>
  <c r="I247" i="1"/>
  <c r="I420" i="1"/>
  <c r="I84" i="1"/>
  <c r="I281" i="1"/>
  <c r="I65" i="1"/>
  <c r="I316" i="1"/>
  <c r="I28" i="1"/>
  <c r="I279" i="1"/>
  <c r="I63" i="1"/>
  <c r="I445" i="1"/>
  <c r="I81" i="1"/>
  <c r="I386" i="1"/>
  <c r="I138" i="1"/>
  <c r="I118" i="1"/>
  <c r="I437" i="1"/>
  <c r="I472" i="1"/>
  <c r="I435" i="1"/>
  <c r="I219" i="1"/>
  <c r="I19" i="1"/>
  <c r="I126" i="1"/>
  <c r="I402" i="1"/>
  <c r="I419" i="1"/>
  <c r="I59" i="1"/>
  <c r="I242" i="1"/>
  <c r="I120" i="1"/>
  <c r="I103" i="1"/>
  <c r="I425" i="1"/>
  <c r="I424" i="1"/>
  <c r="I423" i="1"/>
  <c r="I135" i="1"/>
  <c r="I241" i="1"/>
  <c r="I333" i="1"/>
  <c r="I350" i="1"/>
  <c r="I443" i="1"/>
  <c r="I272" i="1"/>
  <c r="I408" i="1"/>
  <c r="I373" i="1"/>
  <c r="I213" i="1"/>
  <c r="I161" i="1"/>
  <c r="I160" i="1"/>
  <c r="I123" i="1"/>
  <c r="I145" i="1"/>
  <c r="I307" i="1"/>
  <c r="I331" i="1"/>
  <c r="I417" i="1"/>
  <c r="I250" i="1"/>
  <c r="I393" i="1"/>
  <c r="I358" i="1"/>
  <c r="I198" i="1"/>
  <c r="I149" i="1"/>
  <c r="I148" i="1"/>
  <c r="I111" i="1"/>
  <c r="I334" i="1"/>
  <c r="I285" i="1"/>
  <c r="I302" i="1"/>
  <c r="I395" i="1"/>
  <c r="I175" i="1"/>
  <c r="I352" i="1"/>
  <c r="I432" i="1"/>
  <c r="I480" i="1"/>
  <c r="I48" i="1"/>
  <c r="I260" i="1"/>
  <c r="I93" i="1"/>
  <c r="I140" i="1"/>
  <c r="I157" i="1"/>
  <c r="I252" i="1"/>
  <c r="I273" i="1"/>
  <c r="I490" i="1"/>
  <c r="I249" i="1"/>
  <c r="I362" i="1"/>
  <c r="I410" i="1"/>
  <c r="I318" i="1"/>
  <c r="I238" i="1"/>
  <c r="I67" i="1"/>
  <c r="I114" i="1"/>
  <c r="I158" i="1"/>
  <c r="I131" i="1"/>
  <c r="I226" i="1"/>
  <c r="I251" i="1"/>
  <c r="I464" i="1"/>
  <c r="I482" i="1"/>
  <c r="I79" i="1"/>
  <c r="I234" i="1"/>
  <c r="I407" i="1"/>
  <c r="I71" i="1"/>
  <c r="I181" i="1"/>
  <c r="I405" i="1"/>
  <c r="I69" i="1"/>
  <c r="I269" i="1"/>
  <c r="I17" i="1"/>
  <c r="I304" i="1"/>
  <c r="I16" i="1"/>
  <c r="I267" i="1"/>
  <c r="I15" i="1"/>
  <c r="I3" i="1"/>
  <c r="I452" i="1"/>
  <c r="I192" i="1"/>
  <c r="I266" i="1"/>
  <c r="I49" i="1"/>
  <c r="I384" i="1"/>
  <c r="I164" i="1"/>
  <c r="I211" i="1"/>
  <c r="I284" i="1"/>
  <c r="I446" i="1"/>
  <c r="I110" i="1"/>
  <c r="I275" i="1"/>
  <c r="I444" i="1"/>
  <c r="I60" i="1"/>
  <c r="I203" i="1"/>
  <c r="I381" i="1"/>
  <c r="I224" i="1"/>
  <c r="I367" i="1"/>
  <c r="I25" i="1"/>
  <c r="I297" i="1"/>
  <c r="I72" i="1"/>
  <c r="I326" i="1"/>
  <c r="I38" i="1"/>
  <c r="I295" i="1"/>
  <c r="I55" i="1"/>
  <c r="I276" i="1"/>
  <c r="I36" i="1"/>
  <c r="I353" i="1"/>
  <c r="I137" i="1"/>
  <c r="I460" i="1"/>
  <c r="I280" i="1"/>
  <c r="I64" i="1"/>
  <c r="I387" i="1"/>
  <c r="I207" i="1"/>
  <c r="I382" i="1"/>
  <c r="I361" i="1"/>
  <c r="I170" i="1"/>
  <c r="I478" i="1"/>
  <c r="I314" i="1"/>
  <c r="I116" i="1"/>
  <c r="I141" i="1"/>
  <c r="I258" i="1"/>
  <c r="I427" i="1"/>
  <c r="I91" i="1"/>
  <c r="I253" i="1"/>
  <c r="I370" i="1"/>
  <c r="I33" i="1"/>
  <c r="I177" i="1"/>
  <c r="I45" i="1"/>
  <c r="I202" i="1"/>
  <c r="I290" i="1"/>
  <c r="I10" i="1"/>
  <c r="I282" i="1"/>
  <c r="I57" i="1"/>
  <c r="I263" i="1"/>
  <c r="I23" i="1"/>
  <c r="I277" i="1"/>
  <c r="I501" i="1"/>
  <c r="I261" i="1"/>
  <c r="I21" i="1"/>
  <c r="I305" i="1"/>
  <c r="I125" i="1"/>
  <c r="I448" i="1"/>
  <c r="I232" i="1"/>
  <c r="I52" i="1"/>
  <c r="I375" i="1"/>
  <c r="I159" i="1"/>
  <c r="I308" i="1"/>
  <c r="I287" i="1"/>
  <c r="I74" i="1"/>
  <c r="I404" i="1"/>
  <c r="I222" i="1"/>
  <c r="I18" i="1"/>
  <c r="I115" i="1"/>
  <c r="I236" i="1"/>
  <c r="I398" i="1"/>
  <c r="I62" i="1"/>
  <c r="I227" i="1"/>
  <c r="I348" i="1"/>
  <c r="I491" i="1"/>
  <c r="I155" i="1"/>
  <c r="I498" i="1"/>
  <c r="I176" i="1"/>
  <c r="I271" i="1"/>
  <c r="I489" i="1"/>
  <c r="I264" i="1"/>
  <c r="I42" i="1"/>
  <c r="I248" i="1"/>
  <c r="I8" i="1"/>
  <c r="I262" i="1"/>
  <c r="I486" i="1"/>
  <c r="I246" i="1"/>
  <c r="I6" i="1"/>
  <c r="I293" i="1"/>
  <c r="I113" i="1"/>
  <c r="I436" i="1"/>
  <c r="I220" i="1"/>
  <c r="I40" i="1"/>
  <c r="I363" i="1"/>
  <c r="I147" i="1"/>
  <c r="I9" i="1"/>
  <c r="I311" i="1"/>
  <c r="I119" i="1"/>
  <c r="I421" i="1"/>
  <c r="I229" i="1"/>
  <c r="I37" i="1"/>
  <c r="I357" i="1"/>
  <c r="I165" i="1"/>
  <c r="I485" i="1"/>
  <c r="I341" i="1"/>
  <c r="I197" i="1"/>
  <c r="I53" i="1"/>
  <c r="I412" i="1"/>
  <c r="I268" i="1"/>
  <c r="I124" i="1"/>
  <c r="I483" i="1"/>
  <c r="I339" i="1"/>
  <c r="I195" i="1"/>
  <c r="I51" i="1"/>
  <c r="I217" i="1"/>
  <c r="I96" i="1"/>
  <c r="I481" i="1"/>
  <c r="I479" i="1"/>
  <c r="I462" i="1"/>
  <c r="I457" i="1"/>
  <c r="I499" i="1"/>
  <c r="I189" i="1"/>
  <c r="I354" i="1"/>
  <c r="I66" i="1"/>
  <c r="I283" i="1"/>
  <c r="I493" i="1"/>
  <c r="I205" i="1"/>
  <c r="I418" i="1"/>
  <c r="I130" i="1"/>
  <c r="I321" i="1"/>
  <c r="I32" i="1"/>
  <c r="I442" i="1"/>
  <c r="I154" i="1"/>
  <c r="I338" i="1"/>
  <c r="I50" i="1"/>
  <c r="I378" i="1"/>
  <c r="I186" i="1"/>
  <c r="I488" i="1"/>
  <c r="I296" i="1"/>
  <c r="I104" i="1"/>
  <c r="I406" i="1"/>
  <c r="I214" i="1"/>
  <c r="I22" i="1"/>
  <c r="I342" i="1"/>
  <c r="I150" i="1"/>
  <c r="I473" i="1"/>
  <c r="I329" i="1"/>
  <c r="I185" i="1"/>
  <c r="I41" i="1"/>
  <c r="I400" i="1"/>
  <c r="I256" i="1"/>
  <c r="I112" i="1"/>
  <c r="I471" i="1"/>
  <c r="I327" i="1"/>
  <c r="I183" i="1"/>
  <c r="I39" i="1"/>
  <c r="I121" i="1"/>
  <c r="I431" i="1"/>
  <c r="I414" i="1"/>
  <c r="I409" i="1"/>
  <c r="I385" i="1"/>
  <c r="I383" i="1"/>
  <c r="I477" i="1"/>
  <c r="I163" i="1"/>
  <c r="I332" i="1"/>
  <c r="I44" i="1"/>
  <c r="I254" i="1"/>
  <c r="I467" i="1"/>
  <c r="I179" i="1"/>
  <c r="I396" i="1"/>
  <c r="I108" i="1"/>
  <c r="I299" i="1"/>
  <c r="I286" i="1"/>
  <c r="I416" i="1"/>
  <c r="I128" i="1"/>
  <c r="I319" i="1"/>
  <c r="I30" i="1"/>
  <c r="I360" i="1"/>
  <c r="I168" i="1"/>
  <c r="I470" i="1"/>
  <c r="I278" i="1"/>
  <c r="I86" i="1"/>
  <c r="I391" i="1"/>
  <c r="I199" i="1"/>
  <c r="I7" i="1"/>
  <c r="I324" i="1"/>
  <c r="I132" i="1"/>
  <c r="I461" i="1"/>
  <c r="I317" i="1"/>
  <c r="I173" i="1"/>
  <c r="I29" i="1"/>
  <c r="I388" i="1"/>
  <c r="I244" i="1"/>
  <c r="I100" i="1"/>
  <c r="I459" i="1"/>
  <c r="I315" i="1"/>
  <c r="I171" i="1"/>
  <c r="I27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F2" i="1"/>
  <c r="M501" i="1" l="1"/>
  <c r="J504" i="1"/>
  <c r="I503" i="1" l="1"/>
  <c r="M451" i="1"/>
  <c r="M351" i="1"/>
  <c r="M401" i="1"/>
  <c r="M51" i="1"/>
  <c r="M301" i="1"/>
  <c r="M101" i="1"/>
  <c r="M151" i="1"/>
  <c r="M251" i="1"/>
  <c r="M201" i="1"/>
  <c r="K101" i="1"/>
  <c r="K501" i="1"/>
  <c r="K451" i="1"/>
  <c r="K351" i="1"/>
  <c r="K201" i="1"/>
  <c r="K401" i="1"/>
  <c r="K301" i="1"/>
  <c r="K503" i="1"/>
  <c r="K51" i="1"/>
  <c r="K251" i="1"/>
  <c r="K151" i="1"/>
  <c r="G503" i="1" l="1"/>
  <c r="G504" i="1" s="1"/>
</calcChain>
</file>

<file path=xl/sharedStrings.xml><?xml version="1.0" encoding="utf-8"?>
<sst xmlns="http://schemas.openxmlformats.org/spreadsheetml/2006/main" count="1045" uniqueCount="887">
  <si>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</si>
  <si>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</si>
  <si>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</si>
  <si>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</si>
  <si>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</si>
  <si>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</si>
  <si>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</si>
  <si>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</si>
  <si>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</si>
  <si>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</si>
  <si>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</si>
  <si>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</si>
  <si>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</si>
  <si>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</si>
  <si>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</si>
  <si>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</si>
  <si>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</si>
  <si>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</si>
  <si>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</si>
  <si>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</si>
  <si>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</si>
  <si>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</si>
  <si>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</si>
  <si>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</si>
  <si>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</si>
  <si>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</si>
  <si>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</si>
  <si>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</si>
  <si>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</si>
  <si>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</si>
  <si>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</si>
  <si>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</si>
  <si>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</si>
  <si>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</si>
  <si>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</si>
  <si>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</si>
  <si>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</si>
  <si>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</si>
  <si>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</si>
  <si>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</si>
  <si>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</si>
  <si>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</si>
  <si>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</si>
  <si>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</si>
  <si>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</si>
  <si>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</si>
  <si>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</si>
  <si>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</si>
  <si>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</si>
  <si>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</si>
  <si>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</si>
  <si>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</si>
  <si>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</si>
  <si>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</si>
  <si>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</si>
  <si>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</si>
  <si>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</si>
  <si>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</si>
  <si>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</si>
  <si>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</si>
  <si>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</si>
  <si>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</si>
  <si>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</si>
  <si>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</si>
  <si>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</si>
  <si>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</si>
  <si>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</si>
  <si>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</si>
  <si>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</si>
  <si>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</si>
  <si>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</si>
  <si>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</si>
  <si>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</si>
  <si>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</si>
  <si>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</si>
  <si>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</si>
  <si>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</si>
  <si>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</si>
  <si>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</si>
  <si>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</si>
  <si>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</si>
  <si>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</si>
  <si>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</si>
  <si>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</si>
  <si>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</si>
  <si>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</si>
  <si>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</si>
  <si>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</si>
  <si>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</si>
  <si>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</si>
  <si>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</si>
  <si>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</si>
  <si>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</si>
  <si>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</si>
  <si>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</si>
  <si>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</si>
  <si>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</si>
  <si>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</si>
  <si>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</si>
  <si>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</si>
  <si>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</si>
  <si>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</si>
  <si>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</si>
  <si>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</si>
  <si>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</si>
  <si>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</si>
  <si>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</si>
  <si>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</si>
  <si>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</si>
  <si>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</si>
  <si>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</si>
  <si>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</si>
  <si>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</si>
  <si>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</si>
  <si>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</si>
  <si>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</si>
  <si>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</si>
  <si>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</si>
  <si>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</si>
  <si>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</si>
  <si>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</si>
  <si>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</si>
  <si>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</si>
  <si>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</si>
  <si>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</si>
  <si>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</si>
  <si>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</si>
  <si>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</si>
  <si>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</si>
  <si>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</si>
  <si>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</si>
  <si>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</si>
  <si>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</si>
  <si>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</si>
  <si>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</si>
  <si>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</si>
  <si>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</si>
  <si>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</si>
  <si>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</si>
  <si>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</si>
  <si>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</si>
  <si>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</si>
  <si>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</si>
  <si>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</si>
  <si>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</si>
  <si>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</si>
  <si>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</si>
  <si>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</si>
  <si>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</si>
  <si>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</si>
  <si>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</si>
  <si>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</si>
  <si>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</si>
  <si>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</si>
  <si>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</si>
  <si>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</si>
  <si>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</si>
  <si>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</si>
  <si>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</si>
  <si>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</si>
  <si>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</si>
  <si>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</si>
  <si>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</si>
  <si>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</si>
  <si>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</si>
  <si>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</si>
  <si>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</si>
  <si>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</si>
  <si>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</si>
  <si>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</si>
  <si>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</si>
  <si>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</si>
  <si>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</si>
  <si>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</si>
  <si>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</si>
  <si>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</si>
  <si>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</si>
  <si>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</si>
  <si>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</si>
  <si>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</si>
  <si>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</si>
  <si>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</si>
  <si>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</si>
  <si>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</si>
  <si>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</si>
  <si>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</si>
  <si>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</si>
  <si>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</si>
  <si>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</si>
  <si>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</si>
  <si>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</si>
  <si>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</si>
  <si>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</si>
  <si>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</si>
  <si>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</si>
  <si>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</si>
  <si>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</si>
  <si>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</si>
  <si>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</si>
  <si>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</si>
  <si>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</si>
  <si>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</si>
  <si>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</si>
  <si>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</si>
  <si>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</si>
  <si>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</si>
  <si>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</si>
  <si>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</si>
  <si>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</si>
  <si>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</si>
  <si>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</si>
  <si>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</si>
  <si>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</si>
  <si>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</si>
  <si>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</si>
  <si>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</si>
  <si>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</si>
  <si>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</si>
  <si>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</si>
  <si>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</si>
  <si>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</si>
  <si>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</si>
  <si>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</si>
  <si>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</si>
  <si>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</si>
  <si>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</si>
  <si>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</si>
  <si>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</si>
  <si>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</si>
  <si>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</si>
  <si>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</si>
  <si>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</si>
  <si>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</si>
  <si>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</si>
  <si>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</si>
  <si>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</si>
  <si>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</si>
  <si>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</si>
  <si>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</si>
  <si>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</si>
  <si>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</si>
  <si>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</si>
  <si>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</si>
  <si>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</si>
  <si>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</si>
  <si>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</si>
  <si>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</si>
  <si>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</si>
  <si>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</si>
  <si>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</si>
  <si>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</si>
  <si>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</si>
  <si>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</si>
  <si>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</si>
  <si>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</si>
  <si>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</si>
  <si>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</si>
  <si>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</si>
  <si>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</si>
  <si>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</si>
  <si>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</si>
  <si>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</si>
  <si>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</si>
  <si>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</si>
  <si>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</si>
  <si>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</si>
  <si>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</si>
  <si>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</si>
  <si>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</si>
  <si>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</si>
  <si>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</si>
  <si>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</si>
  <si>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</si>
  <si>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</si>
  <si>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</si>
  <si>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</si>
  <si>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</si>
  <si>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</si>
  <si>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</si>
  <si>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</si>
  <si>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</si>
  <si>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</si>
  <si>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</si>
  <si>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</si>
  <si>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</si>
  <si>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</si>
  <si>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</si>
  <si>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</si>
  <si>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</si>
  <si>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</si>
  <si>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</si>
  <si>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</si>
  <si>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</si>
  <si>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</si>
  <si>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</si>
  <si>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</si>
  <si>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</si>
  <si>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</si>
  <si>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</si>
  <si>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</si>
  <si>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</si>
  <si>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</si>
  <si>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</si>
  <si>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</si>
  <si>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</si>
  <si>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</si>
  <si>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</si>
  <si>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</si>
  <si>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</si>
  <si>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</si>
  <si>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</si>
  <si>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</si>
  <si>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</si>
  <si>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</si>
  <si>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</si>
  <si>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</si>
  <si>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</si>
  <si>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</si>
  <si>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</si>
  <si>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</si>
  <si>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</si>
  <si>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</si>
  <si>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</si>
  <si>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</si>
  <si>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</si>
  <si>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</si>
  <si>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</si>
  <si>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</si>
  <si>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</si>
  <si>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</si>
  <si>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</si>
  <si>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</si>
  <si>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</si>
  <si>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</si>
  <si>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</si>
  <si>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</si>
  <si>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</si>
  <si>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</si>
  <si>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</si>
  <si>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</si>
  <si>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</si>
  <si>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</si>
  <si>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</si>
  <si>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</si>
  <si>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</si>
  <si>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</si>
  <si>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</si>
  <si>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</si>
  <si>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</si>
  <si>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</si>
  <si>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</si>
  <si>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</si>
  <si>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</si>
  <si>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</si>
  <si>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</si>
  <si>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</si>
  <si>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</si>
  <si>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</si>
  <si>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</si>
  <si>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</si>
  <si>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</si>
  <si>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</si>
  <si>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</si>
  <si>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</si>
  <si>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</si>
  <si>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</si>
  <si>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</si>
  <si>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</si>
  <si>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</si>
  <si>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</si>
  <si>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</si>
  <si>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</si>
  <si>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</si>
  <si>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</si>
  <si>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</si>
  <si>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</si>
  <si>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</si>
  <si>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</si>
  <si>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</si>
  <si>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</si>
  <si>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</si>
  <si>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</si>
  <si>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</si>
  <si>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</si>
  <si>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</si>
  <si>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</si>
  <si>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</si>
  <si>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</si>
  <si>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</si>
  <si>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</si>
  <si>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</si>
  <si>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</si>
  <si>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</si>
  <si>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</si>
  <si>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</si>
  <si>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</si>
  <si>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</si>
  <si>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</si>
  <si>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</si>
  <si>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</si>
  <si>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</si>
  <si>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</si>
  <si>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</si>
  <si>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</si>
  <si>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</si>
  <si>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</si>
  <si>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</si>
  <si>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</si>
  <si>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</si>
  <si>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</si>
  <si>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</si>
  <si>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</si>
  <si>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</si>
  <si>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</si>
  <si>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</si>
  <si>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</si>
  <si>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</si>
  <si>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</si>
  <si>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</si>
  <si>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</si>
  <si>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</si>
  <si>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</si>
  <si>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</si>
  <si>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</si>
  <si>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</si>
  <si>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</si>
  <si>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</si>
  <si>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</si>
  <si>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</si>
  <si>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</si>
  <si>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</si>
  <si>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</si>
  <si>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</si>
  <si>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</si>
  <si>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</si>
  <si>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</si>
  <si>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</si>
  <si>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</si>
  <si>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</si>
  <si>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</si>
  <si>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</si>
  <si>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</si>
  <si>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</si>
  <si>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</si>
  <si>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</si>
  <si>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</si>
  <si>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</si>
  <si>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</si>
  <si>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</si>
  <si>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</si>
  <si>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</si>
  <si>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</si>
  <si>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</si>
  <si>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</si>
  <si>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</si>
  <si>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</si>
  <si>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</si>
  <si>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</si>
  <si>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</si>
  <si>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</si>
  <si>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</si>
  <si>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</si>
  <si>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</si>
  <si>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</si>
  <si>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</si>
  <si>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</si>
  <si>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</si>
  <si>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</si>
  <si>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가축전염병 예방법(법률) 제3조(국가와 지방자치단체의 책무)</t>
  </si>
  <si>
    <t>가축전염병 예방법 시행규칙(농림축산식품부령) 제47조의2(정보 제공 대상 등)</t>
  </si>
  <si>
    <t>먹는물관리법(법률) 제21조(영업의 허가 등)</t>
  </si>
  <si>
    <t>먹는물관리법 시행규칙(환경부령) 제33조(자가 품질 검사)</t>
  </si>
  <si>
    <t>식품ㆍ의약품분야 시험ㆍ검사 등에 관한 법률(법률) 제8조의2(국외시험검사기관 지정의 유효기간)</t>
  </si>
  <si>
    <t>식품ㆍ의약품분야 시험ㆍ검사 등에 관한 법률(법률) 제6조(시험검사기관의 지정 등)</t>
  </si>
  <si>
    <t>건강기능식품에 관한 법률 시행규칙(총리령) 제8조(품목제조신고 등)</t>
  </si>
  <si>
    <t>건강기능식품에 관한 법률 시행규칙(총리령) 제15조(품질관리인의 수)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</si>
  <si>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</si>
  <si>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</si>
  <si>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</si>
  <si>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</si>
  <si>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</si>
  <si>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</si>
  <si>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</si>
  <si>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</si>
  <si>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</si>
  <si>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</si>
  <si>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</si>
  <si>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</si>
  <si>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</si>
  <si>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</si>
  <si>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</si>
  <si>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</si>
  <si>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</si>
  <si>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</si>
  <si>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</si>
  <si>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</si>
  <si>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</si>
  <si>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</si>
  <si>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</si>
  <si>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</si>
  <si>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</si>
  <si>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</si>
  <si>
    <t>농약관리법 시행규칙(농림축산식품부령) 제21조의2(수입농약 등의 허가신청 등)</t>
  </si>
  <si>
    <t>농약관리법 시행규칙(농림축산식품부령) 제7조(제조업자 등의 지위승계 신고)</t>
  </si>
  <si>
    <t>먹는물관리법(법률) 제24조(영업허가 등의 제한)</t>
  </si>
  <si>
    <t>사료관리법 시행규칙(농림축산식품부령) 제18조(위해요소중점관리기준 적용 사료공장의 지정취소 등)</t>
  </si>
  <si>
    <t>사료관리법 시행규칙(농림축산식품부령) 제24조(출입검사 등)</t>
  </si>
  <si>
    <t>축산물 위생관리법 시행령(대통령령) 제26조의5(위해 축산물을 회수한 영업자에 대한 행정처분의 감면)</t>
  </si>
  <si>
    <t>식품ㆍ의약품분야 시험ㆍ검사 등에 관한 법률 시행규칙(총리령) 제5조(시험검사기관 지정 유효기간의 연장)</t>
  </si>
  <si>
    <t>식품ㆍ의약품분야 시험ㆍ검사 등에 관한 법률(법률) 제9조(시험검사기관의 승계)</t>
  </si>
  <si>
    <t>건강기능식품에 관한 법률(법률) 제7조(품목제조신고 등)</t>
  </si>
  <si>
    <t>건강기능식품에 관한 법률(법률) 제14조(기준 및 규격)</t>
  </si>
  <si>
    <t>수입식품안전관리 특별법(법률) 제35조(위반사실 공표)</t>
  </si>
  <si>
    <t>식품위생법 시행령(대통령령) 제26조의2(등록하여야 하는 영업)</t>
  </si>
  <si>
    <t>농약관리법 시행규칙(농림축산식품부령) 제5조의4(항공방제업의 영업범위)</t>
  </si>
  <si>
    <t>축산물 위생관리법(법률) 제20조의2(축산물위생감시원)</t>
  </si>
  <si>
    <t>수입식품안전관리 특별법(법률) 제12조(해외작업장의 등록 등)</t>
  </si>
  <si>
    <t>수입식품안전관리 특별법 시행규칙(총리령) 제10조(해외식품 위생평가기관 지정취소 등 처분기준)</t>
  </si>
  <si>
    <t>식품위생법 시행규칙(총리령) 제50조(영업에 종사하지 못하는 질병의 종류)</t>
  </si>
  <si>
    <t>수입식품안전관리 특별법 시행규칙(총리령) 제44조의2(직접구매 해외식품등에 관한 위해 정보 게시 방법 등)</t>
  </si>
  <si>
    <t>가축전염병 예방법 시행규칙(농림축산식품부령) 제18조(가축방역업무의 공동실시)</t>
  </si>
  <si>
    <t>가축전염병 예방법 시행령(대통령령) 제2조의5(가축전염병 발생 국가에서 입국 시 제출할 서류)</t>
  </si>
  <si>
    <t>가축전염병 예방법(법률) 제19조(격리와 가축사육시설의 폐쇄명령 등)</t>
  </si>
  <si>
    <t>가축전염병 예방법(법률) 제48조의2(폐업 등의 지원)</t>
  </si>
  <si>
    <t>농약관리법 시행규칙(농림축산식품부령) 제3조(제조업원제업 또는 수입업의 등록신청등)</t>
  </si>
  <si>
    <t>농약관리법 시행령(대통령령) 제6조(시험성적서 등의 제출 면제 대상 품목 등)</t>
  </si>
  <si>
    <t>농약관리법(법률) 제5조의2(행정처분 효과의 승계)</t>
  </si>
  <si>
    <t>농약관리법(법률) 제14조의2(직권 이외의 사유에 의한 품목등록의 취소 등)</t>
  </si>
  <si>
    <t>먹는물관리법 시행규칙(환경부령) 제38조의3(먹는물관련영업자의 먹는샘물등의 회수 등)</t>
  </si>
  <si>
    <t>먹는물관리법(법률) 제8조의2(냉온수기 또는 정수기의 설치관리)</t>
  </si>
  <si>
    <t>먹는물관리법 시행규칙(환경부령) 제36조의3(검사기관 기술인력 교육)</t>
  </si>
  <si>
    <t>먹는물관리법(법률) 제49조(행정처분 효과의 승계)</t>
  </si>
  <si>
    <t>사료관리법(법률) 제7조(사료의 용도 외 판매금지)</t>
  </si>
  <si>
    <t>사료관리법 시행규칙(농림축산식품부령) 제3조(수출목적으로 제조한 사료에 대한 적용 배제)</t>
  </si>
  <si>
    <t>사료관리법 시행규칙(농림축산식품부령) 제32조(사료의 재검사 등)</t>
  </si>
  <si>
    <t>사료관리법 시행규칙(농림축산식품부령) 제21조(자가품질검사)</t>
  </si>
  <si>
    <t>축산물 위생관리법 시행규칙(총리령) 제5조의2(자가소비 또는 자가 조리판매하는 가축 또는 식육의 검사 등)</t>
  </si>
  <si>
    <t>축산물 위생관리법 시행규칙(총리령) 제17조(검사기록부)</t>
  </si>
  <si>
    <t>축산물 위생관리법 시행규칙(총리령) 제49조(교육의 시기 및 방법 등)</t>
  </si>
  <si>
    <t>축산물 위생관리법 시행령(대통령령) 제20조의2(축산물위생감시원의 자격 및 직무범위 등)</t>
  </si>
  <si>
    <t>축산물 위생관리법 시행령(대통령령) 제16조(책임수의사의 지정해제 등)</t>
  </si>
  <si>
    <t>축산물 위생관리법 시행규칙(총리령) 제3조(축산물의 한시적 기준 및 규격의 인정 등)</t>
  </si>
  <si>
    <t>식품ㆍ의약품분야 시험ㆍ검사 등에 관한 법률 시행규칙(총리령) 제13조(시험검사 실적의 보고)</t>
  </si>
  <si>
    <t>식품ㆍ의약품분야 시험ㆍ검사 등에 관한 법률 시행규칙(총리령) 제2조(시험검사기관의 지정)</t>
  </si>
  <si>
    <t>식품ㆍ의약품분야 시험ㆍ검사 등에 관한 법률 시행규칙(총리령) 제26조의2(시험검사 능력 평가 및 관리)</t>
  </si>
  <si>
    <t>건강기능식품에 관한 법률 시행규칙(총리령) 제16조의4(맞춤형건강기능식품관리사의 선임해임신고)</t>
  </si>
  <si>
    <t>건강기능식품에 관한 법률(법률) 제22조의2(건강기능식품이력추적관리 등록기준 등)</t>
  </si>
  <si>
    <t>건강기능식품에 관한 법률 시행령(대통령령) 제5조의2(맞춤형건강기능식품관리사의 자격기준)</t>
  </si>
  <si>
    <t>수입식품안전관리 특별법 시행규칙(총리령) 제49조(정보수집요원 운영)</t>
  </si>
  <si>
    <t>수입식품안전관리 특별법 시행령(대통령령) 제9조(영업정지 처분을 갈음하여 부과하는 과징금의 산정기준)</t>
  </si>
  <si>
    <t>식품위생법(법률) 제7조(식품 또는 식품첨가물에 관한 기준 및 규격)</t>
  </si>
  <si>
    <t>식품위생법(법률) 제4조(위해식품등의 판매 등 금지)</t>
  </si>
  <si>
    <t>식품위생법(법률) 제31조의3(자가품질검사의 확인검사)</t>
  </si>
  <si>
    <t>식품위생법 시행령(대통령령) 제20조(소비자 위생점검 참여 등)</t>
  </si>
  <si>
    <t>식품위생법 시행령(대통령령) 제34조(식품안전관리인증기준적용업소에 관한 업무의 위탁 등)</t>
  </si>
  <si>
    <t>한국식품안전관리인증원의 설립 및 운영에 관한 법률 시행령(대통령령) 제2조(사업계획서 및 예산서의 제출에 관한 특례)</t>
  </si>
  <si>
    <t>한국식품안전관리인증원의 설립 및 운영에 관한 법률(법률) 제5조(정관)</t>
  </si>
  <si>
    <t>한국식품안전관리인증원의 설립 및 운영에 관한 법률(법률) 제10조(운영 재원)</t>
  </si>
  <si>
    <t>가축전염병 예방법(법률) 제49조(생계안정 등 지원)</t>
  </si>
  <si>
    <t>가축전염병 예방법 시행령(대통령령) 제15조(권한의 위임 및 위탁)</t>
  </si>
  <si>
    <t>가축전염병 예방법 시행령(대통령령) 제3조(가축방역관을 두는 기관 등)</t>
  </si>
  <si>
    <t>가축전염병 예방법(법률) 제34조(수입을 위한 검역증명서의 첨부)</t>
  </si>
  <si>
    <t>농약관리법 시행규칙(농림축산식품부령) 제19조의3(직권 이외의 사유로 인한 품목등록 취소 등의 농약등의 폐기 및 보상)</t>
  </si>
  <si>
    <t>농약관리법(법률) 제14조(직권에 의한 품목등록의 취소 등)</t>
  </si>
  <si>
    <t>먹는물관리법(법률) 제41조(자가 품질 검사의 의무)</t>
  </si>
  <si>
    <t>먹는물관리법(법률) 제53조(다른 법률과의 관계)</t>
  </si>
  <si>
    <t>먹는물관리법 시행규칙(환경부령) 제42조(과징금 부과 제외)</t>
  </si>
  <si>
    <t>사료관리법 시행규칙(농림축산식품부령) 제6조(제조업의 시설기준)</t>
  </si>
  <si>
    <t>사료관리법 시행규칙(농림축산식품부령) 제29조(사료검정기관의 지정 등)</t>
  </si>
  <si>
    <t>사료관리법 시행규칙(농림축산식품부령) 제22조(사료시험검사기관의 지정)</t>
  </si>
  <si>
    <t>축산물 위생관리법(법률) 제31조의2(위해 축산물의 회수 및 폐기 등)</t>
  </si>
  <si>
    <t>축산물 위생관리법 시행규칙(총리령) 제9조(도축하는 가축 및 그 식육의 검사)</t>
  </si>
  <si>
    <t>식품ㆍ의약품분야 시험ㆍ검사 등에 관한 법률(법률) 제22조(보고와 출입 등)</t>
  </si>
  <si>
    <t>식품ㆍ의약품분야 시험ㆍ검사 등에 관한 법률 시행규칙(총리령) 제23조(교육기관의 변경지정 등)</t>
  </si>
  <si>
    <t>건강기능식품에 관한 법률 시행규칙(총리령) 제5조(영업의 신고 등)</t>
  </si>
  <si>
    <t>수입식품안전관리 특별법 시행규칙(총리령) 제30조(수입식품등의 검사 등)</t>
  </si>
  <si>
    <t>수입식품안전관리 특별법 시행규칙(총리령) 제36조(유통이력추적관리 등록신청 등)</t>
  </si>
  <si>
    <t>식품위생법 시행령(대통령령) 제32조(식품등의 오염사고의 보고 대상)</t>
  </si>
  <si>
    <t>식품위생법 시행령(대통령령) 제17조(식품위생감시원의 직무)</t>
  </si>
  <si>
    <t>식품위생법 시행령(대통령령) 제17조의2(식품위생감시원의 교육)</t>
  </si>
  <si>
    <t>가축전염병 예방법(법률) 제3조(국가와 지방자치단체의 책무)</t>
    <phoneticPr fontId="2" type="noConversion"/>
  </si>
  <si>
    <t>가축전염병 예방법(법률) 제51조(보고)</t>
    <phoneticPr fontId="2" type="noConversion"/>
  </si>
  <si>
    <t>가축전염병 예방법 시행규칙(농림축산식품부령) 제3조(가축전염병 예찰)</t>
    <phoneticPr fontId="2" type="noConversion"/>
  </si>
  <si>
    <t>가축전염병 예방법(법률) 제52조(농림축산식품부장관 등의 지시)</t>
    <phoneticPr fontId="2" type="noConversion"/>
  </si>
  <si>
    <t>가축전염병 예방법(법률) 제5조(가축의 소유자등의 방역 및 검역 의무)</t>
    <phoneticPr fontId="2" type="noConversion"/>
  </si>
  <si>
    <t>가축전염병 예방법 시행규칙(농림축산식품부령) 제7조의3(질문검사소독 고지 및 소독 등 실시)</t>
    <phoneticPr fontId="2" type="noConversion"/>
  </si>
  <si>
    <t>가축전염병 예방법(법률) 제3조의2(가축전염병 발생 현황에 대한 정보공개)</t>
    <phoneticPr fontId="2" type="noConversion"/>
  </si>
  <si>
    <t>가축전염병 예방법(법률) 제14조(가축전염병 병원체 분리신고 및 보존관리)</t>
    <phoneticPr fontId="2" type="noConversion"/>
  </si>
  <si>
    <t>가축전염병 예방법 시행규칙(농림축산식품부령) 제3조의3(가축전염병 발생 현황에 대한 정보공개)</t>
    <phoneticPr fontId="2" type="noConversion"/>
  </si>
  <si>
    <t>가축전염병 예방법 시행령(대통령령) 제2조의2(가축전염병 발생 현황에 대한 정보공개)</t>
    <phoneticPr fontId="2" type="noConversion"/>
  </si>
  <si>
    <t>가축전염병 예방법(법률) 제52조의3(정보 제공 요청 등)</t>
    <phoneticPr fontId="2" type="noConversion"/>
  </si>
  <si>
    <t>가축전염병 예방법 시행령(대통령령) 제6조(가축사육시설의 폐쇄명령 등)</t>
    <phoneticPr fontId="2" type="noConversion"/>
  </si>
  <si>
    <t>가축전염병 예방법 시행규칙(농림축산식품부령) 제4조(사육제한 명령 등)</t>
    <phoneticPr fontId="2" type="noConversion"/>
  </si>
  <si>
    <t>가축전염병 예방법 시행령(대통령령) 제7조(가축사육시설의 폐쇄조치 등)</t>
    <phoneticPr fontId="2" type="noConversion"/>
  </si>
  <si>
    <t>가축전염병 예방법(법률) 제19조(격리와 가축사육시설의 폐쇄명령 등)</t>
    <phoneticPr fontId="2" type="noConversion"/>
  </si>
  <si>
    <t>가축전염병 예방법(법률) 제3조의3(국가가축방역통합정보시스템의 구축운영)</t>
    <phoneticPr fontId="2" type="noConversion"/>
  </si>
  <si>
    <t>가축전염병 예방법 시행규칙(농림축산식품부령) 제3조의4(국가가축방역통합정보시스템의 구축운영)</t>
    <phoneticPr fontId="2" type="noConversion"/>
  </si>
  <si>
    <t>가축전염병 예방법 시행령(대통령령) 제15조의2(고유식별정보의 처리)</t>
    <phoneticPr fontId="2" type="noConversion"/>
  </si>
  <si>
    <t>가축전염병 예방법 시행규칙(농림축산식품부령) 제47조의2(정보 제공 대상 등)</t>
    <phoneticPr fontId="2" type="noConversion"/>
  </si>
  <si>
    <t>가축전염병 예방법(법률) 제3조의4(중점방역관리지구)</t>
    <phoneticPr fontId="2" type="noConversion"/>
  </si>
  <si>
    <t>가축전염병 예방법 시행규칙(농림축산식품부령) 제3조의5(중점방역관리지구 지정 등)</t>
    <phoneticPr fontId="2" type="noConversion"/>
  </si>
  <si>
    <t>가축전염병 예방법(법률) 제48조의2(폐업 등의 지원)</t>
    <phoneticPr fontId="2" type="noConversion"/>
  </si>
  <si>
    <t>가축전염병 예방법(법률) 제4조(가축방역심의회)</t>
    <phoneticPr fontId="2" type="noConversion"/>
  </si>
  <si>
    <t>가축전염병 예방법 시행규칙(농림축산식품부령) 제5조(심의회의 구성 및 운영)</t>
    <phoneticPr fontId="2" type="noConversion"/>
  </si>
  <si>
    <t>가축전염병 예방법 시행규칙(농림축산식품부령) 제7조(심의회의 간사 등)</t>
    <phoneticPr fontId="2" type="noConversion"/>
  </si>
  <si>
    <t>가축전염병 예방법 시행규칙(농림축산식품부령) 제6조(심의회의 회의)</t>
    <phoneticPr fontId="2" type="noConversion"/>
  </si>
  <si>
    <t>가축전염병 예방법 시행규칙(농림축산식품부령) 제7조의5(방역관리 책임자)</t>
    <phoneticPr fontId="2" type="noConversion"/>
  </si>
  <si>
    <t>가축전염병 예방법 시행령(대통령령) 제3조의2(가축전염병기동방역기구의 설치 등)</t>
    <phoneticPr fontId="2" type="noConversion"/>
  </si>
  <si>
    <t>가축전염병 예방법(법률) 제9조의2(가축전염병기동방역기구의 설치 등)</t>
    <phoneticPr fontId="2" type="noConversion"/>
  </si>
  <si>
    <t>가축전염병 예방법 시행령(대통령령) 제2조의5(가축전염병 발생 국가에서 입국 시 제출할 서류)</t>
    <phoneticPr fontId="2" type="noConversion"/>
  </si>
  <si>
    <t>가축전염병 예방법(법률) 제52조의4(가축전염병 안내교육)</t>
    <phoneticPr fontId="2" type="noConversion"/>
  </si>
  <si>
    <t>가축전염병 예방법(법률) 제17조(소독설비방역시설 구비 및 소독 실시 등)</t>
    <phoneticPr fontId="2" type="noConversion"/>
  </si>
  <si>
    <t>가축전염병 예방법 시행규칙(농림축산식품부령) 제22조의4(방목가능 시설 또는 장비 등)</t>
    <phoneticPr fontId="2" type="noConversion"/>
  </si>
  <si>
    <t>농약관리법(법률) 제20조(농약등 및 원제의 표시)</t>
    <phoneticPr fontId="2" type="noConversion"/>
  </si>
  <si>
    <t>농약관리법(법률) 제3조(영업의 등록 등)</t>
    <phoneticPr fontId="2" type="noConversion"/>
  </si>
  <si>
    <t>농약관리법 시행규칙(농림축산식품부령) 제3조의2(제조업원제업 또는 수입업의 변경등록)</t>
    <phoneticPr fontId="2" type="noConversion"/>
  </si>
  <si>
    <t>농약관리법(법률) 제17조의2(농약활용기자재의 등록)</t>
    <phoneticPr fontId="2" type="noConversion"/>
  </si>
  <si>
    <t>농약관리법 시행령(대통령령) 제3조(수출입식물방제업 및 항공방제업의 영업범위)</t>
    <phoneticPr fontId="2" type="noConversion"/>
  </si>
  <si>
    <t>농약관리법 시행규칙(농림축산식품부령) 제5조의2(수출입식물방제업 및 항공방제업의 변경신고)</t>
    <phoneticPr fontId="2" type="noConversion"/>
  </si>
  <si>
    <t>농약관리법(법률) 제29조(청문)</t>
    <phoneticPr fontId="2" type="noConversion"/>
  </si>
  <si>
    <t>농약관리법(법률) 제7조(등록의 취소 등)</t>
    <phoneticPr fontId="2" type="noConversion"/>
  </si>
  <si>
    <t>농약관리법(법률) 제40조(과태료)</t>
    <phoneticPr fontId="2" type="noConversion"/>
  </si>
  <si>
    <t>농약관리법(법률) 제35조(벌칙)</t>
    <phoneticPr fontId="2" type="noConversion"/>
  </si>
  <si>
    <t>농약관리법(법률) 제32조(벌칙)</t>
    <phoneticPr fontId="2" type="noConversion"/>
  </si>
  <si>
    <t>농약관리법(법률) 제33조(벌칙)</t>
    <phoneticPr fontId="2" type="noConversion"/>
  </si>
  <si>
    <t>농약관리법 시행규칙(농림축산식품부령) 제5조의3(행정정보의 공동이용)</t>
    <phoneticPr fontId="2" type="noConversion"/>
  </si>
  <si>
    <t>농약관리법(법률) 제17조(수입농약 등의 등록 등)</t>
    <phoneticPr fontId="2" type="noConversion"/>
  </si>
  <si>
    <t>농약관리법(법률) 제8조의2(수출농약의 등록 등)</t>
    <phoneticPr fontId="2" type="noConversion"/>
  </si>
  <si>
    <t>농약관리법(법률) 제9조(품목등록 신청서류 등의 검토 등)</t>
    <phoneticPr fontId="2" type="noConversion"/>
  </si>
  <si>
    <t>농약관리법(법률) 제17조의3(제품등록의 유효기간 및 재등록)</t>
    <phoneticPr fontId="2" type="noConversion"/>
  </si>
  <si>
    <t>농약관리법(법률) 제11조(품목등록의 유효기간 및 재등록)</t>
    <phoneticPr fontId="2" type="noConversion"/>
  </si>
  <si>
    <t>농약관리법 시행규칙(농림축산식품부령) 제16조(품목의 재등록신청 등)</t>
    <phoneticPr fontId="2" type="noConversion"/>
  </si>
  <si>
    <t>농약관리법 시행령(대통령령) 제9조(이화학적 분석 등을 적은 서류의 제출 면제 대상 원제)</t>
    <phoneticPr fontId="2" type="noConversion"/>
  </si>
  <si>
    <t>농약관리법(법률) 제13조(신청에 의한 품목변경등록 등)</t>
    <phoneticPr fontId="2" type="noConversion"/>
  </si>
  <si>
    <t>농약관리법 시행규칙(농림축산식품부령) 제24조의5(농약안전정보시스템의 구축운영에 관한 세부사항)</t>
    <phoneticPr fontId="2" type="noConversion"/>
  </si>
  <si>
    <t>농약관리법(법률) 제6조(폐업의 신고)</t>
    <phoneticPr fontId="2" type="noConversion"/>
  </si>
  <si>
    <t>농약관리법(법률) 제5조(제조업자 등의 지위승계)</t>
    <phoneticPr fontId="2" type="noConversion"/>
  </si>
  <si>
    <t>농약관리법 시행규칙(농림축산식품부령) 제7조(제조업자 등의 지위승계 신고)</t>
    <phoneticPr fontId="2" type="noConversion"/>
  </si>
  <si>
    <t>농약관리법(법률) 제12조(품목등록자의 지위승계 등)</t>
    <phoneticPr fontId="2" type="noConversion"/>
  </si>
  <si>
    <t>농약관리법(법률) 제14조의2(직권 이외의 사유에 의한 품목등록의 취소 등)</t>
    <phoneticPr fontId="2" type="noConversion"/>
  </si>
  <si>
    <t>농약관리법 시행규칙(농림축산식품부령) 제6조(제조업등의 인력시설 및 장비 등의 기준)</t>
    <phoneticPr fontId="2" type="noConversion"/>
  </si>
  <si>
    <t>농약관리법 시행규칙(농림축산식품부령) 제3조(제조업원제업 또는 수입업의 등록신청등)</t>
    <phoneticPr fontId="2" type="noConversion"/>
  </si>
  <si>
    <t>농약관리법 시행규칙(농림축산식품부령) 제6조의2(수출입식물방제업 등의 인력시설장비 등의 기준)</t>
    <phoneticPr fontId="2" type="noConversion"/>
  </si>
  <si>
    <t>농약관리법(법률) 제5조의2(행정처분 효과의 승계)</t>
    <phoneticPr fontId="2" type="noConversion"/>
  </si>
  <si>
    <t>농약관리법(법률) 제31조(권한의 위임위탁)</t>
    <phoneticPr fontId="2" type="noConversion"/>
  </si>
  <si>
    <t>농약관리법 시행령(대통령령) 제22조(권한의 위임위탁)</t>
    <phoneticPr fontId="2" type="noConversion"/>
  </si>
  <si>
    <t>농약관리법 시행령(대통령령) 제21조의4(조정위원회 구성 등의 권한 위임)</t>
    <phoneticPr fontId="2" type="noConversion"/>
  </si>
  <si>
    <t>먹는물관리법 시행규칙(환경부령) 제10조(영업의 허가 등)</t>
    <phoneticPr fontId="2" type="noConversion"/>
  </si>
  <si>
    <t>먹는물관리법 시행규칙(환경부령) 제30조(수출용 먹는샘물 등의 기준규격 및 표시기준 관리)</t>
    <phoneticPr fontId="2" type="noConversion"/>
  </si>
  <si>
    <t>먹는물관리법 시행규칙(환경부령) 제16조(수입신고 등)</t>
    <phoneticPr fontId="2" type="noConversion"/>
  </si>
  <si>
    <t>먹는물관리법 시행규칙(환경부령) 제3조(샘물등의 개발허가)</t>
    <phoneticPr fontId="2" type="noConversion"/>
  </si>
  <si>
    <t>먹는물관리법(법률) 제26조(수입신고 등)</t>
    <phoneticPr fontId="2" type="noConversion"/>
  </si>
  <si>
    <t>먹는물관리법 시행규칙(환경부령) 제38조의3(먹는물관련영업자의 먹는샘물등의 회수 등)</t>
    <phoneticPr fontId="2" type="noConversion"/>
  </si>
  <si>
    <t>먹는물관리법(법률) 제12조(샘물등의 개발허가의 유효기간)</t>
    <phoneticPr fontId="2" type="noConversion"/>
  </si>
  <si>
    <t>먹는물관리법 시행규칙(환경부령) 제4조(샘물등의 개발의 임시 허가)</t>
    <phoneticPr fontId="2" type="noConversion"/>
  </si>
  <si>
    <t>먹는물관리법 시행규칙(환경부령) 제6조(샘물등의 개발허가의 유효기간 연장허가)</t>
    <phoneticPr fontId="2" type="noConversion"/>
  </si>
  <si>
    <t>먹는물관리법(법률) 제10조(샘물등의 개발의 임시 허가)</t>
    <phoneticPr fontId="2" type="noConversion"/>
  </si>
  <si>
    <t>먹는물관리법 시행규칙(환경부령) 제2조(먹는물공동시설의 관리)</t>
    <phoneticPr fontId="2" type="noConversion"/>
  </si>
  <si>
    <t>먹는물관리법(법률) 제8조(먹는물공동시설의 관리)</t>
    <phoneticPr fontId="2" type="noConversion"/>
  </si>
  <si>
    <t>먹는물관리법 시행규칙(환경부령) 제12조(샘물등의 수위수량수질 관리)</t>
    <phoneticPr fontId="2" type="noConversion"/>
  </si>
  <si>
    <t>먹는물관리법(법률) 제8조의5(샘물보전구역에서의 금지행위)</t>
    <phoneticPr fontId="2" type="noConversion"/>
  </si>
  <si>
    <t>먹는물관리법 시행령(대통령령) 제19조(과징금 산정기준)</t>
    <phoneticPr fontId="2" type="noConversion"/>
  </si>
  <si>
    <t>먹는물관리법(법률) 제51조(과징금 처분)</t>
    <phoneticPr fontId="2" type="noConversion"/>
  </si>
  <si>
    <t>먹는물관리법 시행령(대통령령) 제18조(과징금의 납부)</t>
    <phoneticPr fontId="2" type="noConversion"/>
  </si>
  <si>
    <t>먹는물관리법 시행규칙(환경부령) 제43조(과징금의 부과처분 등)</t>
    <phoneticPr fontId="2" type="noConversion"/>
  </si>
  <si>
    <t>먹는물관리법 시행령(대통령령) 제6조(품질관리인의 자격기준)</t>
    <phoneticPr fontId="2" type="noConversion"/>
  </si>
  <si>
    <t>먹는물관리법(법률) 제27조(품질관리인)</t>
    <phoneticPr fontId="2" type="noConversion"/>
  </si>
  <si>
    <t>먹는물관리법(법률) 제28조(품질관리교육)</t>
    <phoneticPr fontId="2" type="noConversion"/>
  </si>
  <si>
    <t>먹는물관리법 시행규칙(환경부령) 제17조(품질관리교육)</t>
    <phoneticPr fontId="2" type="noConversion"/>
  </si>
  <si>
    <t>먹는물관리법 시행규칙(환경부령) 제18조(교육과정 등)</t>
    <phoneticPr fontId="2" type="noConversion"/>
  </si>
  <si>
    <t>먹는물관리법 시행규칙(환경부령) 제13조(조건부 영업허가)</t>
    <phoneticPr fontId="2" type="noConversion"/>
  </si>
  <si>
    <t>먹는물관리법(법률) 제24조(영업허가 등의 제한)</t>
    <phoneticPr fontId="2" type="noConversion"/>
  </si>
  <si>
    <t>먹는물관리법(법률) 제23조(조건부 영업허가)</t>
    <phoneticPr fontId="2" type="noConversion"/>
  </si>
  <si>
    <t>먹는물관리법(법률) 제25조(영업의 승계)</t>
    <phoneticPr fontId="2" type="noConversion"/>
  </si>
  <si>
    <t>먹는물관리법 시행규칙(환경부령) 제15조(영업의 승계)</t>
    <phoneticPr fontId="2" type="noConversion"/>
  </si>
  <si>
    <t>먹는물관리법 시행규칙(환경부령) 제11조(휴업 등의 신고)</t>
    <phoneticPr fontId="2" type="noConversion"/>
  </si>
  <si>
    <t>먹는물관리법(법률) 제46조(폐쇄조치 등)</t>
    <phoneticPr fontId="2" type="noConversion"/>
  </si>
  <si>
    <t>먹는물관리법 시행규칙(환경부령) 제40조(사업장의 영업정지처분의 게시)</t>
    <phoneticPr fontId="2" type="noConversion"/>
  </si>
  <si>
    <t>먹는물관리법(법률) 제48조(허가의 취소 등)</t>
    <phoneticPr fontId="2" type="noConversion"/>
  </si>
  <si>
    <t>먹는물관리법(법률) 제48조의2(영업정지처분 등 조치 명령)</t>
    <phoneticPr fontId="2" type="noConversion"/>
  </si>
  <si>
    <t>사료관리법 시행규칙(농림축산식품부령) 제5조(제조업의 등록)</t>
    <phoneticPr fontId="2" type="noConversion"/>
  </si>
  <si>
    <t>사료관리법(법률) 제8조(제조업의 등록 등)</t>
    <phoneticPr fontId="2" type="noConversion"/>
  </si>
  <si>
    <t>사료관리법(법률) 제12조(사료의 성분등록 및 취소)</t>
    <phoneticPr fontId="2" type="noConversion"/>
  </si>
  <si>
    <t>사료관리법 시행규칙(농림축산식품부령) 제12조(사료성분의 등록 등)</t>
    <phoneticPr fontId="2" type="noConversion"/>
  </si>
  <si>
    <t>사료관리법 시행규칙(농림축산식품부령) 제20조(사료의 수입신고)</t>
    <phoneticPr fontId="2" type="noConversion"/>
  </si>
  <si>
    <t>사료관리법 시행규칙(농림축산식품부령) 제13조(등록증의 재발급 신청)</t>
    <phoneticPr fontId="2" type="noConversion"/>
  </si>
  <si>
    <t>사료관리법(법률) 제13조(사료의 표시사항)</t>
    <phoneticPr fontId="2" type="noConversion"/>
  </si>
  <si>
    <t>사료관리법(법률) 제13조의2(유전자변형농수축산물등의 표시)</t>
    <phoneticPr fontId="2" type="noConversion"/>
  </si>
  <si>
    <t>사료관리법 시행규칙(농림축산식품부령) 제14조(사료의 표시사항)</t>
    <phoneticPr fontId="2" type="noConversion"/>
  </si>
  <si>
    <t>사료관리법 시행규칙(농림축산식품부령) 제16조(위해요소중점관리기준 적용 사료공장의 지정신청 등)</t>
    <phoneticPr fontId="2" type="noConversion"/>
  </si>
  <si>
    <t>사료관리법 시행규칙(농림축산식품부령) 제17조(교육훈련 등)</t>
    <phoneticPr fontId="2" type="noConversion"/>
  </si>
  <si>
    <t>사료관리법(법률) 제16조(위해요소중점관리기준)</t>
    <phoneticPr fontId="2" type="noConversion"/>
  </si>
  <si>
    <t>사료관리법 시행령(대통령령) 제4조(사료공장의 위해요소중점관리 담당기관 지정 등)</t>
    <phoneticPr fontId="2" type="noConversion"/>
  </si>
  <si>
    <t>사료관리법(법률) 제4조(적용 배제)</t>
    <phoneticPr fontId="2" type="noConversion"/>
  </si>
  <si>
    <t>사료관리법 시행규칙(농림축산식품부령) 제34조(사료의 폐기 등의 조치)</t>
    <phoneticPr fontId="2" type="noConversion"/>
  </si>
  <si>
    <t>사료관리법 시행규칙(농림축산식품부령) 제18조(위해요소중점관리기준 적용 사료공장의 지정취소 등)</t>
    <phoneticPr fontId="2" type="noConversion"/>
  </si>
  <si>
    <t>사료관리법(법률) 제7조(사료의 용도 외 판매금지)</t>
    <phoneticPr fontId="2" type="noConversion"/>
  </si>
  <si>
    <t>사료관리법 시행규칙(농림축산식품부령) 제4조(사료의 용도)</t>
    <phoneticPr fontId="2" type="noConversion"/>
  </si>
  <si>
    <t>사료관리법(법률) 제14조(제조수입판매 또는 사용 등의 금지)</t>
    <phoneticPr fontId="2" type="noConversion"/>
  </si>
  <si>
    <t>사료관리법(법률) 제2조(정의)</t>
    <phoneticPr fontId="2" type="noConversion"/>
  </si>
  <si>
    <t>사료관리법(법률) 제19조(사료의 수입신고 등)</t>
    <phoneticPr fontId="2" type="noConversion"/>
  </si>
  <si>
    <t>사료관리법 시행규칙(농림축산식품부령) 제24조(출입검사 등)</t>
    <phoneticPr fontId="2" type="noConversion"/>
  </si>
  <si>
    <t>사료관리법(법률) 제20조(자가품질검사)</t>
    <phoneticPr fontId="2" type="noConversion"/>
  </si>
  <si>
    <t>사료관리법 시행규칙(농림축산식품부령) 제30조(검정방법 등)</t>
    <phoneticPr fontId="2" type="noConversion"/>
  </si>
  <si>
    <t>사료관리법 시행규칙(농림축산식품부령) 제32조(사료의 재검사 등)</t>
    <phoneticPr fontId="2" type="noConversion"/>
  </si>
  <si>
    <t>사료관리법 시행규칙(농림축산식품부령) 제23조(사료검사의 종류)</t>
    <phoneticPr fontId="2" type="noConversion"/>
  </si>
  <si>
    <t>사료관리법(법률) 제21조(사료검사)</t>
    <phoneticPr fontId="2" type="noConversion"/>
  </si>
  <si>
    <t>사료관리법 시행규칙(농림축산식품부령) 제25조(사료의 검사방법 등)</t>
    <phoneticPr fontId="2" type="noConversion"/>
  </si>
  <si>
    <t>사료관리법 시행규칙(농림축산식품부령) 제28조(사료검사원의 직무 등)</t>
    <phoneticPr fontId="2" type="noConversion"/>
  </si>
  <si>
    <t>사료관리법 시행규칙(농림축산식품부령) 제40조(규제의 재검토)</t>
    <phoneticPr fontId="2" type="noConversion"/>
  </si>
  <si>
    <t>사료관리법 시행규칙(농림축산식품부령) 제7조(시설 변경의 신고범위 등)</t>
    <phoneticPr fontId="2" type="noConversion"/>
  </si>
  <si>
    <t>사료관리법 시행규칙(농림축산식품부령) 제11조(사료공정의 설정 절차 등)</t>
    <phoneticPr fontId="2" type="noConversion"/>
  </si>
  <si>
    <t>사료관리법(법률) 제11조(사료의 공정 등)</t>
    <phoneticPr fontId="2" type="noConversion"/>
  </si>
  <si>
    <t>축산물 위생관리법(법률) 제7조(가축의 도살 등)</t>
    <phoneticPr fontId="2" type="noConversion"/>
  </si>
  <si>
    <t>축산물 위생관리법 시행규칙(총리령) 제5조(도축장 외의 장소에서 도살처리한 가축의 신고 등)</t>
    <phoneticPr fontId="2" type="noConversion"/>
  </si>
  <si>
    <t>축산물 위생관리법(법률) 제4조(축산물의 기준 및 규격)</t>
    <phoneticPr fontId="2" type="noConversion"/>
  </si>
  <si>
    <t>축산물 위생관리법 시행규칙(총리령) 제58조(검사대상 가축외동물 및 검사의 신청)</t>
    <phoneticPr fontId="2" type="noConversion"/>
  </si>
  <si>
    <t>축산물 위생관리법 시행규칙(총리령) 제6조(위생관리기준 등)</t>
    <phoneticPr fontId="2" type="noConversion"/>
  </si>
  <si>
    <t>축산물 위생관리법 시행령(대통령령) 제17조의2(검사관의 기준 업무량 등)</t>
    <phoneticPr fontId="2" type="noConversion"/>
  </si>
  <si>
    <t>축산물 위생관리법(법률) 제9조의3(안전관리인증기준의 준수 여부 평가 등)</t>
    <phoneticPr fontId="2" type="noConversion"/>
  </si>
  <si>
    <t>축산물 위생관리법(법률) 제8조(위생관리기준)</t>
    <phoneticPr fontId="2" type="noConversion"/>
  </si>
  <si>
    <t>축산물 위생관리법 시행규칙(총리령) 제7조의4(영업자 등에 대한 교육훈련)</t>
    <phoneticPr fontId="2" type="noConversion"/>
  </si>
  <si>
    <t>축산물 위생관리법 시행규칙(총리령) 제7조의3(안전관리인증작업장등의 인증신청 등)</t>
    <phoneticPr fontId="2" type="noConversion"/>
  </si>
  <si>
    <t>축산물 위생관리법(법률) 제30조(위생교육)</t>
    <phoneticPr fontId="2" type="noConversion"/>
  </si>
  <si>
    <t>축산물 위생관리법 시행규칙(총리령) 제7조의5(인증 유효기간의 연장신청 등)</t>
    <phoneticPr fontId="2" type="noConversion"/>
  </si>
  <si>
    <t>축산물 위생관리법 시행규칙(총리령) 제53조(판매 등이 허용되는 축산물)</t>
    <phoneticPr fontId="2" type="noConversion"/>
  </si>
  <si>
    <t>축산물 위생관리법(법률) 제15조의2(수입판매 금지 등)</t>
    <phoneticPr fontId="2" type="noConversion"/>
  </si>
  <si>
    <t>축산물 위생관리법 시행규칙(총리령) 제14조(영업자의 검사)</t>
    <phoneticPr fontId="2" type="noConversion"/>
  </si>
  <si>
    <t>축산물 위생관리법 시행령(대통령령) 제6조(위원장 및 부위원장의 직무)</t>
    <phoneticPr fontId="2" type="noConversion"/>
  </si>
  <si>
    <t>축산물 위생관리법(법률) 제3조의2(축산물위생심의위원회의 설치 등)</t>
    <phoneticPr fontId="2" type="noConversion"/>
  </si>
  <si>
    <t>축산물 위생관리법 시행령(대통령령) 제10조(간사)</t>
    <phoneticPr fontId="2" type="noConversion"/>
  </si>
  <si>
    <t>축산물 위생관리법 시행령(대통령령) 제20조의2(축산물위생감시원의 자격 및 직무범위 등)</t>
    <phoneticPr fontId="2" type="noConversion"/>
  </si>
  <si>
    <t>축산물 위생관리법 시행령(대통령령) 제6조의3(위원의 제척기피회피)</t>
    <phoneticPr fontId="2" type="noConversion"/>
  </si>
  <si>
    <t>축산물 위생관리법 시행령(대통령령) 제6조의2(위원의 해촉)</t>
    <phoneticPr fontId="2" type="noConversion"/>
  </si>
  <si>
    <t>축산물 위생관리법(법률) 제42조(공중위생상 위해 시의 조치)</t>
    <phoneticPr fontId="2" type="noConversion"/>
  </si>
  <si>
    <t>축산물 위생관리법 시행규칙(총리령) 제61조(벌칙에서 제외되는 자)</t>
    <phoneticPr fontId="2" type="noConversion"/>
  </si>
  <si>
    <t>축산물 위생관리법 시행령(대통령령) 제20조의3(명예축산물위생감시원의 위촉 등)</t>
    <phoneticPr fontId="2" type="noConversion"/>
  </si>
  <si>
    <t>축산물 위생관리법 시행규칙(총리령) 제20조(책임수의사의 지정 등)</t>
    <phoneticPr fontId="2" type="noConversion"/>
  </si>
  <si>
    <t>축산물 위생관리법(법률) 제2조(정의)</t>
    <phoneticPr fontId="2" type="noConversion"/>
  </si>
  <si>
    <t>축산물 위생관리법 시행령(대통령령) 제2조(가축의 범위 등)</t>
    <phoneticPr fontId="2" type="noConversion"/>
  </si>
  <si>
    <t>축산물 위생관리법 시행령(대통령령) 제9조의2(연구위원)</t>
    <phoneticPr fontId="2" type="noConversion"/>
  </si>
  <si>
    <t>축산물 위생관리법(법률) 제20조의2(축산물위생감시원)</t>
    <phoneticPr fontId="2" type="noConversion"/>
  </si>
  <si>
    <t>축산물 위생관리법(법률) 제10조(부정행위의 금지)</t>
    <phoneticPr fontId="2" type="noConversion"/>
  </si>
  <si>
    <t>축산물 위생관리법(법률) 제25조(품목 제조의 보고)</t>
    <phoneticPr fontId="2" type="noConversion"/>
  </si>
  <si>
    <t>식품ㆍ의약품분야 시험ㆍ검사 등에 관한 법률 시행규칙(총리령) 제5조(시험검사기관 지정 유효기간의 연장)</t>
    <phoneticPr fontId="2" type="noConversion"/>
  </si>
  <si>
    <t>식품ㆍ의약품분야 시험ㆍ검사 등에 관한 법률 시행규칙(총리령) 제8조의2(국외시험검사기관 지정 유효기간의 연장)</t>
    <phoneticPr fontId="2" type="noConversion"/>
  </si>
  <si>
    <t>식품ㆍ의약품분야 시험ㆍ검사 등에 관한 법률 시행규칙(총리령) 제6조(시험검사기관의 재지정)</t>
    <phoneticPr fontId="2" type="noConversion"/>
  </si>
  <si>
    <t>식품ㆍ의약품분야 시험ㆍ검사 등에 관한 법률(법률) 제7조(시험검사기관 지정의 유효기간 등)</t>
    <phoneticPr fontId="2" type="noConversion"/>
  </si>
  <si>
    <t>식품ㆍ의약품분야 시험ㆍ검사 등에 관한 법률 시행규칙(총리령) 제9조(시험검사기관의 지위 승계 신고)</t>
    <phoneticPr fontId="2" type="noConversion"/>
  </si>
  <si>
    <t>식품ㆍ의약품분야 시험ㆍ검사 등에 관한 법률(법률) 제9조(시험검사기관의 승계)</t>
    <phoneticPr fontId="2" type="noConversion"/>
  </si>
  <si>
    <t>식품ㆍ의약품분야 시험ㆍ검사 등에 관한 법률 시행규칙(총리령) 제4조(시험검사기관의 지정사항 변경)</t>
    <phoneticPr fontId="2" type="noConversion"/>
  </si>
  <si>
    <t>식품ㆍ의약품분야 시험ㆍ검사 등에 관한 법률(법률) 제8조(국외시험검사기관의 지정 등)</t>
    <phoneticPr fontId="2" type="noConversion"/>
  </si>
  <si>
    <t>식품ㆍ의약품분야 시험ㆍ검사 등에 관한 법률 시행규칙(총리령) 제7조(국외시험검사기관의 지정 등)</t>
    <phoneticPr fontId="2" type="noConversion"/>
  </si>
  <si>
    <t>식품ㆍ의약품분야 시험ㆍ검사 등에 관한 법률(법률) 제6조(시험검사기관의 지정 등)</t>
    <phoneticPr fontId="2" type="noConversion"/>
  </si>
  <si>
    <t>식품ㆍ의약품분야 시험ㆍ검사 등에 관한 법률(법률) 제13조(우수시험검사기관의 지정)</t>
    <phoneticPr fontId="2" type="noConversion"/>
  </si>
  <si>
    <t>식품ㆍ의약품분야 시험ㆍ검사 등에 관한 법률 시행규칙(총리령) 제16조(우수시험검사기관의 지정 등)</t>
    <phoneticPr fontId="2" type="noConversion"/>
  </si>
  <si>
    <t>식품ㆍ의약품분야 시험ㆍ검사 등에 관한 법률 시행규칙(총리령) 제17조(우수시험검사기관의 변경지정)</t>
    <phoneticPr fontId="2" type="noConversion"/>
  </si>
  <si>
    <t>식품ㆍ의약품분야 시험ㆍ검사 등에 관한 법률 시행규칙(총리령) 제22조(시험검사인력 등의 교육기관 지정)</t>
    <phoneticPr fontId="2" type="noConversion"/>
  </si>
  <si>
    <t>식품ㆍ의약품분야 시험ㆍ검사 등에 관한 법률(법률) 제18조(교육기관)</t>
    <phoneticPr fontId="2" type="noConversion"/>
  </si>
  <si>
    <t>식품ㆍ의약품분야 시험ㆍ검사 등에 관한 법률(법률) 제17조(교육)</t>
    <phoneticPr fontId="2" type="noConversion"/>
  </si>
  <si>
    <t>식품ㆍ의약품분야 시험ㆍ검사 등에 관한 법률 시행규칙(총리령) 제21조(시험검사인력 등의 교육시간 등)</t>
    <phoneticPr fontId="2" type="noConversion"/>
  </si>
  <si>
    <t>식품ㆍ의약품분야 시험ㆍ검사 등에 관한 법률(법률) 제19조(폐쇄조치 등)</t>
    <phoneticPr fontId="2" type="noConversion"/>
  </si>
  <si>
    <t>식품ㆍ의약품분야 시험ㆍ검사 등에 관한 법률(법률) 제10조(시험검사기관의 지정취소 등)</t>
    <phoneticPr fontId="2" type="noConversion"/>
  </si>
  <si>
    <t>식품ㆍ의약품분야 시험ㆍ검사 등에 관한 법률 시행규칙(총리령) 제10조(시험검사기관 등에 대한 행정처분 기준)</t>
    <phoneticPr fontId="2" type="noConversion"/>
  </si>
  <si>
    <t>식품ㆍ의약품분야 시험ㆍ검사 등에 관한 법률(법률) 제11조(시험검사의 절차 등)</t>
    <phoneticPr fontId="2" type="noConversion"/>
  </si>
  <si>
    <t>식품ㆍ의약품분야 시험ㆍ검사 등에 관한 법률 시행규칙(총리령) 제12조(시험검사의 절차)</t>
    <phoneticPr fontId="2" type="noConversion"/>
  </si>
  <si>
    <t>식품ㆍ의약품분야 시험ㆍ검사 등에 관한 법률 시행규칙(총리령) 제13조(시험검사 실적의 보고)</t>
    <phoneticPr fontId="2" type="noConversion"/>
  </si>
  <si>
    <t>식품ㆍ의약품분야 시험ㆍ검사 등에 관한 법률 시행규칙(총리령) 제8조의3(국외시험검사기관의 재지정)</t>
    <phoneticPr fontId="2" type="noConversion"/>
  </si>
  <si>
    <t>식품ㆍ의약품분야 시험ㆍ검사 등에 관한 법률 시행규칙(총리령) 제20조(시험검사 능력 평가 및 관리)</t>
    <phoneticPr fontId="2" type="noConversion"/>
  </si>
  <si>
    <t>식품ㆍ의약품분야 시험ㆍ검사 등에 관한 법률(법률) 제16조(시험검사 능력 평가 및 관리)</t>
    <phoneticPr fontId="2" type="noConversion"/>
  </si>
  <si>
    <t>식품ㆍ의약품분야 시험ㆍ검사 등에 관한 법률 시행규칙(총리령) 제2조(시험검사기관의 지정)</t>
    <phoneticPr fontId="2" type="noConversion"/>
  </si>
  <si>
    <t>건강기능식품에 관한 법률 시행규칙(총리령) 제3조(영업허가의 신청)</t>
    <phoneticPr fontId="2" type="noConversion"/>
  </si>
  <si>
    <t>건강기능식품에 관한 법률 시행규칙(총리령) 제4조(허가사항의 변경)</t>
    <phoneticPr fontId="2" type="noConversion"/>
  </si>
  <si>
    <t>건강기능식품에 관한 법률(법률) 제5조(영업의 허가 등)</t>
    <phoneticPr fontId="2" type="noConversion"/>
  </si>
  <si>
    <t>건강기능식품에 관한 법률(법률) 제7조(품목제조신고 등)</t>
    <phoneticPr fontId="2" type="noConversion"/>
  </si>
  <si>
    <t>건강기능식품에 관한 법률 시행규칙(총리령) 제6조(신고사항의 변경)</t>
    <phoneticPr fontId="2" type="noConversion"/>
  </si>
  <si>
    <t>건강기능식품에 관한 법률(법률) 제6조(영업의 신고 등)</t>
    <phoneticPr fontId="2" type="noConversion"/>
  </si>
  <si>
    <t>건강기능식품에 관한 법률 시행규칙(총리령) 제8조(품목제조신고 등)</t>
    <phoneticPr fontId="2" type="noConversion"/>
  </si>
  <si>
    <t>건강기능식품에 관한 법률 시행규칙(총리령) 제9조(품목제조신고사항의 변경신고)</t>
    <phoneticPr fontId="2" type="noConversion"/>
  </si>
  <si>
    <t>건강기능식품에 관한 법률 시행규칙(총리령) 제16조(품질관리인의 선임해임신고)</t>
    <phoneticPr fontId="2" type="noConversion"/>
  </si>
  <si>
    <t>건강기능식품에 관한 법률(법률) 제12조(품질관리인)</t>
    <phoneticPr fontId="2" type="noConversion"/>
  </si>
  <si>
    <t>건강기능식품에 관한 법률 시행령(대통령령) 제4조(품질관리인의 자격기준)</t>
    <phoneticPr fontId="2" type="noConversion"/>
  </si>
  <si>
    <t>건강기능식품에 관한 법률(법률) 제12조의2(품질관리인의 변경명령)</t>
    <phoneticPr fontId="2" type="noConversion"/>
  </si>
  <si>
    <t>건강기능식품에 관한 법률(법률) 제24조(기준규격 위반 건강기능식품의 판매 등의 금지)</t>
    <phoneticPr fontId="2" type="noConversion"/>
  </si>
  <si>
    <t>건강기능식품에 관한 법률(법률) 제10조(영업자의 준수사항)</t>
    <phoneticPr fontId="2" type="noConversion"/>
  </si>
  <si>
    <t>건강기능식품에 관한 법률(법률) 제30조(폐기처분 등)</t>
    <phoneticPr fontId="2" type="noConversion"/>
  </si>
  <si>
    <t>건강기능식품에 관한 법률 시행규칙(총리령) 제25조(자가품질검사)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</si>
  <si>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</si>
  <si>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법률(법률) 제12조의3(맞춤형건강기능식품관리사)</t>
    <phoneticPr fontId="2" type="noConversion"/>
  </si>
  <si>
    <t>건강기능식품에 관한 법률 시행규칙(총리령) 제16조의4(맞춤형건강기능식품관리사의 선임해임신고)</t>
    <phoneticPr fontId="2" type="noConversion"/>
  </si>
  <si>
    <t>건강기능식품에 관한 법률(법률) 제28조(단체 설립)</t>
    <phoneticPr fontId="2" type="noConversion"/>
  </si>
  <si>
    <t>건강기능식품에 관한 법률 시행규칙(총리령) 제16조의2(품질관리인의 직무 수행내역 등 기록보관)</t>
    <phoneticPr fontId="2" type="noConversion"/>
  </si>
  <si>
    <t>건강기능식품에 관한 법률 시행령(대통령령) 제5조(품질관리인의 준수사항)</t>
    <phoneticPr fontId="2" type="noConversion"/>
  </si>
  <si>
    <t>건강기능식품에 관한 법률 시행규칙(총리령) 제25조의4(우수건강기능식품제조기준 등)</t>
    <phoneticPr fontId="2" type="noConversion"/>
  </si>
  <si>
    <t>건강기능식품에 관한 법률 시행규칙(총리령) 제13조(생산실적의 보고)</t>
    <phoneticPr fontId="2" type="noConversion"/>
  </si>
  <si>
    <t>건강기능식품에 관한 법률(법률) 제10조의2(이상사례의 보고 등)</t>
    <phoneticPr fontId="2" type="noConversion"/>
  </si>
  <si>
    <t>건강기능식품에 관한 법률 시행령(대통령령) 제3조의3(이상사례의 보고 접수 업무 등의 위탁)</t>
    <phoneticPr fontId="2" type="noConversion"/>
  </si>
  <si>
    <t>건강기능식품에 관한 법률 시행규칙(총리령) 제13조의2(이상사례의 보고)</t>
    <phoneticPr fontId="2" type="noConversion"/>
  </si>
  <si>
    <t>건강기능식품에 관한 법률(법률) 제20조의2(소비자등의 위생검사등 요청)</t>
    <phoneticPr fontId="2" type="noConversion"/>
  </si>
  <si>
    <t>건강기능식품에 관한 법률(법률) 제11조(영업의 승계)</t>
    <phoneticPr fontId="2" type="noConversion"/>
  </si>
  <si>
    <t>건강기능식품에 관한 법률 시행규칙(총리령) 제14조(영업자의 지위승계신고)</t>
    <phoneticPr fontId="2" type="noConversion"/>
  </si>
  <si>
    <t>건강기능식품에 관한 법률(법률) 제34조(행정제재처분 효과의 승계)</t>
    <phoneticPr fontId="2" type="noConversion"/>
  </si>
  <si>
    <t>수입식품안전관리 특별법 시행규칙(총리령) 제2조(해외제조업소의 등록 등)</t>
    <phoneticPr fontId="2" type="noConversion"/>
  </si>
  <si>
    <t>수입식품안전관리 특별법(법률) 제5조(해외제조업소 등록)</t>
    <phoneticPr fontId="2" type="noConversion"/>
  </si>
  <si>
    <t>수입식품안전관리 특별법(법률) 제5조의2(해외제조업소의 등록 취소 등)</t>
    <phoneticPr fontId="2" type="noConversion"/>
  </si>
  <si>
    <t>수입식품안전관리 특별법(법률) 제6조(해외제조업소의 현지실사)</t>
    <phoneticPr fontId="2" type="noConversion"/>
  </si>
  <si>
    <t>수입식품안전관리 특별법(법률) 제7조(우수수입업소 등록 등)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</si>
  <si>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</si>
  <si>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특별법(법률) 제23조(수입식품등의 유통이력추적관리)</t>
    <phoneticPr fontId="2" type="noConversion"/>
  </si>
  <si>
    <t>수입식품안전관리 특별법 시행규칙(총리령) 제34조(수입식품등의 사후관리)</t>
    <phoneticPr fontId="2" type="noConversion"/>
  </si>
  <si>
    <t>수입식품안전관리 특별법(법률) 제21조(수입검사 등)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</si>
  <si>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</si>
  <si>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특별법(법률) 제41조(수수료)</t>
    <phoneticPr fontId="2" type="noConversion"/>
  </si>
  <si>
    <t>수입식품안전관리 특별법 시행령(대통령령) 제2조(영업의 종류와 범위)</t>
    <phoneticPr fontId="2" type="noConversion"/>
  </si>
  <si>
    <t>수입식품안전관리 특별법(법률) 제14조(영업의 종류와 시설기준)</t>
    <phoneticPr fontId="2" type="noConversion"/>
  </si>
  <si>
    <t>수입식품안전관리 특별법(법률) 제2조(정의)</t>
    <phoneticPr fontId="2" type="noConversion"/>
  </si>
  <si>
    <t>수입식품안전관리 특별법 시행령(대통령령) 제6조(행정응원의 절차 등)</t>
    <phoneticPr fontId="2" type="noConversion"/>
  </si>
  <si>
    <t>수입식품안전관리 특별법(법률) 제25조(출입검사수거 등)</t>
    <phoneticPr fontId="2" type="noConversion"/>
  </si>
  <si>
    <t>수입식품안전관리 특별법 시행령(대통령령) 제10조(과징금의 부과 및 납부 절차)</t>
    <phoneticPr fontId="2" type="noConversion"/>
  </si>
  <si>
    <t>수입식품안전관리 특별법(법률) 제29조(등록취소 등)</t>
    <phoneticPr fontId="2" type="noConversion"/>
  </si>
  <si>
    <t>수입식품안전관리 특별법 시행령(대통령령) 제7조(등록취소 등)</t>
    <phoneticPr fontId="2" type="noConversion"/>
  </si>
  <si>
    <t>수입식품안전관리 특별법(법률) 제33조(영업정지 등의 처분을 갈음하여 부과하는 과징금 처분)</t>
    <phoneticPr fontId="2" type="noConversion"/>
  </si>
  <si>
    <t>수입식품안전관리 특별법(법률) 제31조(폐쇄조치 등)</t>
    <phoneticPr fontId="2" type="noConversion"/>
  </si>
  <si>
    <t>수입식품안전관리 특별법(법률) 제34조(위해 수입식품등의 판매 등에 따른 과징금 부과 등)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</si>
  <si>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</si>
  <si>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 시행령(대통령령) 제11조(과징금 부과처분 취소 대상자 등)</t>
    <phoneticPr fontId="2" type="noConversion"/>
  </si>
  <si>
    <t>수입식품안전관리 특별법 시행규칙(총리령) 제7조(해외식품 위생평가기관의 지정 등)</t>
    <phoneticPr fontId="2" type="noConversion"/>
  </si>
  <si>
    <t>수입식품안전관리 특별법 시행규칙(총리령) 제8조(해외식품 위생평가기관의 변경지정 등)</t>
    <phoneticPr fontId="2" type="noConversion"/>
  </si>
  <si>
    <t>수입식품안전관리 특별법 시행규칙(총리령) 제9조(해외식품 위생평가기관 지정의 유효기간 연장 및 재지정)</t>
    <phoneticPr fontId="2" type="noConversion"/>
  </si>
  <si>
    <t>수입식품안전관리 특별법(법률) 제10조(해외식품 위생평가기관 지정 등)</t>
    <phoneticPr fontId="2" type="noConversion"/>
  </si>
  <si>
    <t>식품위생법 시행규칙(총리령) 제5조(식품등의 한시적 기준 및 규격의 인정 등)</t>
    <phoneticPr fontId="2" type="noConversion"/>
  </si>
  <si>
    <t>식품위생법 시행령(대통령령) 제4조(위해평가의 대상 등)</t>
    <phoneticPr fontId="2" type="noConversion"/>
  </si>
  <si>
    <t>식품위생법(법률) 제3조(식품 등의 취급)</t>
    <phoneticPr fontId="2" type="noConversion"/>
  </si>
  <si>
    <t>식품위생법(법률) 제9조의2(기구 및 용기포장에 사용하는 재생원료에 관한 인정)</t>
    <phoneticPr fontId="2" type="noConversion"/>
  </si>
  <si>
    <t>식품위생법(법률) 제5조(병든 동물 고기 등의 판매 등 금지)</t>
    <phoneticPr fontId="2" type="noConversion"/>
  </si>
  <si>
    <t>식품위생법(법률) 제93조(벌칙)</t>
    <phoneticPr fontId="2" type="noConversion"/>
  </si>
  <si>
    <t>식품위생법 시행규칙(총리령) 제4조(판매 등이 금지되는 병든 동물 고기 등)</t>
    <phoneticPr fontId="2" type="noConversion"/>
  </si>
  <si>
    <t>식품위생법 시행규칙(총리령) 제50조(영업에 종사하지 못하는 질병의 종류)</t>
    <phoneticPr fontId="2" type="noConversion"/>
  </si>
  <si>
    <t>식품위생법 시행규칙(총리령) 제31조의2(자가품질검사의무의 면제)</t>
    <phoneticPr fontId="2" type="noConversion"/>
  </si>
  <si>
    <t>식품위생법(법률) 제31조의2(자가품질검사의무의 면제)</t>
    <phoneticPr fontId="2" type="noConversion"/>
  </si>
  <si>
    <t>식품위생법 시행규칙(총리령) 제31조(자가품질검사)</t>
    <phoneticPr fontId="2" type="noConversion"/>
  </si>
  <si>
    <t>식품위생법(법률) 제31조(자가품질검사 의무)</t>
    <phoneticPr fontId="2" type="noConversion"/>
  </si>
  <si>
    <t>식품위생법(법률) 제19조의4(검사명령 등)</t>
    <phoneticPr fontId="2" type="noConversion"/>
  </si>
  <si>
    <t>식품위생법(법률) 제23조(식품등의 재검사)</t>
    <phoneticPr fontId="2" type="noConversion"/>
  </si>
  <si>
    <t>식품위생법(법률) 제44조(영업자 등의 준수사항)</t>
    <phoneticPr fontId="2" type="noConversion"/>
  </si>
  <si>
    <t>식품위생법 시행규칙(총리령) 제15조의8(검사명령 이행기한)</t>
    <phoneticPr fontId="2" type="noConversion"/>
  </si>
  <si>
    <t>식품위생법(법률) 제46조(식품등의 이물 발견보고 등)</t>
    <phoneticPr fontId="2" type="noConversion"/>
  </si>
  <si>
    <t>식품위생법(법률) 제17조(위해식품등에 대한 긴급대응)</t>
    <phoneticPr fontId="2" type="noConversion"/>
  </si>
  <si>
    <t>식품위생법 시행령(대통령령) 제64조의2(정보공개)</t>
    <phoneticPr fontId="2" type="noConversion"/>
  </si>
  <si>
    <t>식품위생법 시행령(대통령령) 제9조(유전자변형식품등의 안전성 심사)</t>
    <phoneticPr fontId="2" type="noConversion"/>
  </si>
  <si>
    <t>식품위생법(법률) 제12조의2(유전자변형식품등의 표시)</t>
    <phoneticPr fontId="2" type="noConversion"/>
  </si>
  <si>
    <t>식품위생법 시행규칙(총리령) 제35조(위생점검의 절차 및 결과 표시 등)</t>
    <phoneticPr fontId="2" type="noConversion"/>
  </si>
  <si>
    <t>식품위생법 시행령(대통령령) 제26조의2(등록하여야 하는 영업)</t>
    <phoneticPr fontId="2" type="noConversion"/>
  </si>
  <si>
    <t>식품위생법 시행령(대통령령) 제25조(영업신고를 하여야 하는 업종)</t>
    <phoneticPr fontId="2" type="noConversion"/>
  </si>
  <si>
    <t>식품위생법 시행령(대통령령) 제29조(준수사항 적용 대상 영업자의 범위)</t>
    <phoneticPr fontId="2" type="noConversion"/>
  </si>
  <si>
    <t>식품위생법 시행령(대통령령) 제21조(영업의 종류)</t>
    <phoneticPr fontId="2" type="noConversion"/>
  </si>
  <si>
    <t>식품위생법 시행령(대통령령) 제30조(책임보험의 종류 등)</t>
    <phoneticPr fontId="2" type="noConversion"/>
  </si>
  <si>
    <t>식품위생법(법률) 제44조의2(보험 가입)</t>
    <phoneticPr fontId="2" type="noConversion"/>
  </si>
  <si>
    <t>식품위생법 시행규칙(총리령) 제48조(영업자 지위승계 신고)</t>
    <phoneticPr fontId="2" type="noConversion"/>
  </si>
  <si>
    <t>식품위생법 시행령(대통령령) 제66조(규제의 재검토)</t>
    <phoneticPr fontId="2" type="noConversion"/>
  </si>
  <si>
    <t>식품위생법 시행령(대통령령) 제50조(자율지도원의 임명 및 직무 등)</t>
    <phoneticPr fontId="2" type="noConversion"/>
  </si>
  <si>
    <t>식품위생법(법률) 제63조(자율지도원 등)</t>
    <phoneticPr fontId="2" type="noConversion"/>
  </si>
  <si>
    <t>식품위생법 시행령(대통령령) 제17조(식품위생감시원의 직무)</t>
    <phoneticPr fontId="2" type="noConversion"/>
  </si>
  <si>
    <t>식품위생법(법률) 제70조의10(지도감독 등)</t>
    <phoneticPr fontId="2" type="noConversion"/>
  </si>
  <si>
    <t>식품위생법 시행령(대통령령) 제32조의2(위생등급 지정에 관한 업무의 위탁)</t>
    <phoneticPr fontId="2" type="noConversion"/>
  </si>
  <si>
    <t>식품위생법(법률) 제47조의2(식품접객업소의 위생등급 지정 등)</t>
    <phoneticPr fontId="2" type="noConversion"/>
  </si>
  <si>
    <t>식품위생법 시행규칙(총리령) 제61조의2(위생등급의 지정절차 및 위생등급 공표표시의 방법 등)</t>
    <phoneticPr fontId="2" type="noConversion"/>
  </si>
  <si>
    <t>식품위생법 시행규칙(총리령) 제61조의3(위생등급 유효기간의 연장 등)</t>
    <phoneticPr fontId="2" type="noConversion"/>
  </si>
  <si>
    <t>한국식품안전관리인증원의 설립 및 운영에 관한 법률 시행령(대통령령) 제3조(사업계획서 등의 제출)</t>
    <phoneticPr fontId="2" type="noConversion"/>
  </si>
  <si>
    <t>한국식품안전관리인증원의 설립 및 운영에 관한 법률 시행령(대통령령) 제2조(사업계획서 및 예산서의 제출에 관한 특례)</t>
    <phoneticPr fontId="2" type="noConversion"/>
  </si>
  <si>
    <t>한국식품안전관리인증원의 설립 및 운영에 관한 법률(법률) 제13조(사업계획서 등의 제출)</t>
    <phoneticPr fontId="2" type="noConversion"/>
  </si>
  <si>
    <t>한국식품안전관리인증원의 설립 및 운영에 관한 법률(법률) 제12조(사업연도)</t>
    <phoneticPr fontId="2" type="noConversion"/>
  </si>
  <si>
    <t>한국식품안전관리인증원의 설립 및 운영에 관한 법률(법률) 제14조(지도감독 등)</t>
    <phoneticPr fontId="2" type="noConversion"/>
  </si>
  <si>
    <t>한국식품안전관리인증원의 설립 및 운영에 관한 법률(법률) 제5조(정관)</t>
    <phoneticPr fontId="2" type="noConversion"/>
  </si>
  <si>
    <t>한국식품안전관리인증원의 설립 및 운영에 관한 법률(법률) 제4조(사무소)</t>
    <phoneticPr fontId="2" type="noConversion"/>
  </si>
  <si>
    <t>한국식품안전관리인증원의 설립 및 운영에 관한 법률 시행령(대통령령) 제2조(설립등기)</t>
    <phoneticPr fontId="2" type="noConversion"/>
  </si>
  <si>
    <t>한국식품안전관리인증원의 설립 및 운영에 관한 법률(법률) 제3조(설립등기)</t>
    <phoneticPr fontId="2" type="noConversion"/>
  </si>
  <si>
    <t>한국식품안전관리인증원의 설립 및 운영에 관한 법률(법률) 제8조(이사회)</t>
    <phoneticPr fontId="2" type="noConversion"/>
  </si>
  <si>
    <t>한국식품안전관리인증원의 설립 및 운영에 관한 법률(법률) 제7조(임원)</t>
    <phoneticPr fontId="2" type="noConversion"/>
  </si>
  <si>
    <t>한국식품안전관리인증원의 설립 및 운영에 관한 법률(법률) 제10조(운영 재원)</t>
    <phoneticPr fontId="2" type="noConversion"/>
  </si>
  <si>
    <t>한국식품안전관리인증원의 설립 및 운영에 관한 법률(법률) 제11조(보조금)</t>
    <phoneticPr fontId="2" type="noConversion"/>
  </si>
  <si>
    <t>한국식품안전관리인증원의 설립 및 운영에 관한 법률(법률) 제19조(벌칙)</t>
    <phoneticPr fontId="2" type="noConversion"/>
  </si>
  <si>
    <t>한국식품안전관리인증원의 설립 및 운영에 관한 법률(법률) 제15조(비밀엄수의 의무)</t>
    <phoneticPr fontId="2" type="noConversion"/>
  </si>
  <si>
    <t>한국식품안전관리인증원의 설립 및 운영에 관한 법률(법률) 제9조(직원의 임면)</t>
    <phoneticPr fontId="2" type="noConversion"/>
  </si>
  <si>
    <t>한국식품안전관리인증원의 설립 및 운영에 관한 법률(법률) 제18조(벌칙 적용에서 공무원 의제)</t>
    <phoneticPr fontId="2" type="noConversion"/>
  </si>
  <si>
    <t>한국식품안전관리인증원의 설립 및 운영에 관한 법률(법률) 제20조(과태료)</t>
    <phoneticPr fontId="2" type="noConversion"/>
  </si>
  <si>
    <t>한국식품안전관리인증원의 설립 및 운영에 관한 법률(법률) 제17조(동일 명칭의 사용 금지)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</si>
</sst>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/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0" borderId="0" xfId="0" applyFont="1" applyFill="1" applyBorder="1">
      <alignment vertical="center"/>
    </xf>
    <xf numFmtId="0" fontId="4" fillId="0" borderId="3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176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6" fillId="3" borderId="3" xfId="0" applyFont="1" applyFill="1" applyBorder="1">
      <alignment vertical="center"/>
    </xf>
    <xf numFmtId="0" fontId="6" fillId="3" borderId="5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M556"/>
  <sheetViews>
    <sheetView tabSelected="1" topLeftCell="C1" zoomScale="55" zoomScaleNormal="55" workbookViewId="0">
      <selection activeCell="E8" sqref="E8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2" ht="17.25" thickBot="1" x14ac:dyDescent="0.35">
      <c r="B1" s="3" t="s">
        <v>0</v>
      </c>
      <c r="C1" s="3" t="s">
        <v>16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2" ht="17.25" thickBot="1" x14ac:dyDescent="0.35">
      <c r="A2" s="2" t="s">
        <v>107</v>
      </c>
      <c r="B2" s="6" t="s">
        <v>90</v>
      </c>
      <c r="C2" s="6" t="s">
        <v>117</v>
      </c>
      <c r="D2" s="6" t="s">
        <v>299</v>
      </c>
      <c r="E2" s="6" t="s">
        <v>580</v>
      </c>
      <c r="F2" s="6" t="b">
        <f>NOT(ISBLANK(D2))</f>
        <v>1</v>
      </c>
      <c r="G2" s="6">
        <f>IF(F2=TRUE, 1, 0)</f>
        <v>1</v>
      </c>
      <c r="H2" s="6" t="b">
        <f>hascolor(E2,$L$5)</f>
        <v>0</v>
      </c>
      <c r="I2" s="6">
        <f>IF(H2, 1, 0)</f>
        <v>0</v>
      </c>
    </row>
    <row r="3" spans="1:12" ht="17.25" thickBot="1" x14ac:dyDescent="0.35">
      <c r="B3" s="4"/>
      <c r="C3" s="4" t="s">
        <v>118</v>
      </c>
      <c r="D3" s="4" t="s">
        <v>439</v>
      </c>
      <c r="E3" s="12" t="s">
        <v>581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hascolor(E3,$L$5)</f>
        <v>0</v>
      </c>
      <c r="I3" s="6">
        <f t="shared" ref="I3:I66" si="3">IF(H3, 1, 0)</f>
        <v>0</v>
      </c>
    </row>
    <row r="4" spans="1:12" ht="17.25" thickBot="1" x14ac:dyDescent="0.35">
      <c r="B4" s="4"/>
      <c r="D4" s="4" t="s">
        <v>483</v>
      </c>
      <c r="E4" s="4" t="s">
        <v>582</v>
      </c>
      <c r="F4" s="6" t="b">
        <f t="shared" si="0"/>
        <v>1</v>
      </c>
      <c r="G4" s="6">
        <f t="shared" si="1"/>
        <v>1</v>
      </c>
      <c r="H4" s="6" t="b">
        <f t="shared" si="2"/>
        <v>0</v>
      </c>
      <c r="I4" s="6">
        <f t="shared" si="3"/>
        <v>0</v>
      </c>
    </row>
    <row r="5" spans="1:12" ht="17.25" thickBot="1" x14ac:dyDescent="0.35">
      <c r="B5" s="4"/>
      <c r="C5" s="4"/>
      <c r="D5" s="4" t="s">
        <v>487</v>
      </c>
      <c r="E5" s="12" t="s">
        <v>583</v>
      </c>
      <c r="F5" s="6" t="b">
        <f t="shared" si="0"/>
        <v>1</v>
      </c>
      <c r="G5" s="6">
        <f t="shared" si="1"/>
        <v>1</v>
      </c>
      <c r="H5" s="6" t="b">
        <f t="shared" si="2"/>
        <v>0</v>
      </c>
      <c r="I5" s="6">
        <f t="shared" si="3"/>
        <v>0</v>
      </c>
      <c r="L5" s="2"/>
    </row>
    <row r="6" spans="1:12" ht="17.25" thickBot="1" x14ac:dyDescent="0.35">
      <c r="B6" s="5"/>
      <c r="C6" s="5"/>
      <c r="D6" s="4"/>
      <c r="E6" s="4" t="s">
        <v>520</v>
      </c>
      <c r="F6" s="6" t="b">
        <f t="shared" si="0"/>
        <v>0</v>
      </c>
      <c r="G6" s="6">
        <f t="shared" si="1"/>
        <v>0</v>
      </c>
      <c r="H6" s="6" t="b">
        <f t="shared" si="2"/>
        <v>0</v>
      </c>
      <c r="I6" s="6">
        <f t="shared" si="3"/>
        <v>0</v>
      </c>
      <c r="J6">
        <f>IF(hascolor(E2:E6,$L$5)=TRUE, 1, 0)</f>
        <v>0</v>
      </c>
    </row>
    <row r="7" spans="1:12" ht="17.25" thickBot="1" x14ac:dyDescent="0.35">
      <c r="B7" s="6" t="s">
        <v>91</v>
      </c>
      <c r="C7" s="6" t="s">
        <v>119</v>
      </c>
      <c r="D7" s="6" t="s">
        <v>440</v>
      </c>
      <c r="E7" s="13" t="s">
        <v>584</v>
      </c>
      <c r="F7" s="6" t="b">
        <f t="shared" si="0"/>
        <v>1</v>
      </c>
      <c r="G7" s="6">
        <f t="shared" si="1"/>
        <v>1</v>
      </c>
      <c r="H7" s="6" t="b">
        <f t="shared" si="2"/>
        <v>0</v>
      </c>
      <c r="I7" s="6">
        <f t="shared" si="3"/>
        <v>0</v>
      </c>
    </row>
    <row r="8" spans="1:12" ht="17.25" thickBot="1" x14ac:dyDescent="0.35">
      <c r="B8" s="4"/>
      <c r="C8" s="4" t="s">
        <v>120</v>
      </c>
      <c r="D8" s="4" t="s">
        <v>441</v>
      </c>
      <c r="E8" s="12" t="s">
        <v>585</v>
      </c>
      <c r="F8" s="6" t="b">
        <f t="shared" si="0"/>
        <v>1</v>
      </c>
      <c r="G8" s="6">
        <f t="shared" si="1"/>
        <v>1</v>
      </c>
      <c r="H8" s="6" t="b">
        <f t="shared" si="2"/>
        <v>0</v>
      </c>
      <c r="I8" s="6">
        <f t="shared" si="3"/>
        <v>0</v>
      </c>
    </row>
    <row r="9" spans="1:12" ht="17.25" thickBot="1" x14ac:dyDescent="0.35">
      <c r="B9" s="4"/>
      <c r="C9" s="4"/>
      <c r="D9" s="4" t="s">
        <v>484</v>
      </c>
      <c r="E9" s="4" t="s">
        <v>586</v>
      </c>
      <c r="F9" s="6" t="b">
        <f t="shared" si="0"/>
        <v>1</v>
      </c>
      <c r="G9" s="6">
        <f t="shared" si="1"/>
        <v>1</v>
      </c>
      <c r="H9" s="6" t="b">
        <f t="shared" si="2"/>
        <v>0</v>
      </c>
      <c r="I9" s="6">
        <f t="shared" si="3"/>
        <v>0</v>
      </c>
    </row>
    <row r="10" spans="1:12" ht="17.25" thickBot="1" x14ac:dyDescent="0.35">
      <c r="B10" s="4"/>
      <c r="C10" s="4"/>
      <c r="D10" s="4" t="s">
        <v>486</v>
      </c>
      <c r="E10" s="4" t="s">
        <v>587</v>
      </c>
      <c r="F10" s="6" t="b">
        <f t="shared" si="0"/>
        <v>1</v>
      </c>
      <c r="G10" s="6">
        <f t="shared" si="1"/>
        <v>1</v>
      </c>
      <c r="H10" s="6" t="b">
        <f t="shared" si="2"/>
        <v>0</v>
      </c>
      <c r="I10" s="6">
        <f t="shared" si="3"/>
        <v>0</v>
      </c>
    </row>
    <row r="11" spans="1:12" ht="17.25" thickBot="1" x14ac:dyDescent="0.35">
      <c r="B11" s="5"/>
      <c r="C11" s="5"/>
      <c r="D11" s="4"/>
      <c r="E11" s="12" t="s">
        <v>521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IF(hascolor(E7:E11,$L$5)=TRUE, 1, 0)</f>
        <v>0</v>
      </c>
    </row>
    <row r="12" spans="1:12" ht="17.25" thickBot="1" x14ac:dyDescent="0.35">
      <c r="B12" s="6" t="s">
        <v>92</v>
      </c>
      <c r="C12" s="6" t="s">
        <v>121</v>
      </c>
      <c r="D12" s="6" t="s">
        <v>299</v>
      </c>
      <c r="E12" s="13" t="s">
        <v>586</v>
      </c>
      <c r="F12" s="6" t="b">
        <f t="shared" si="0"/>
        <v>1</v>
      </c>
      <c r="G12" s="6">
        <f t="shared" si="1"/>
        <v>1</v>
      </c>
      <c r="H12" s="6" t="b">
        <f t="shared" si="2"/>
        <v>0</v>
      </c>
      <c r="I12" s="6">
        <f t="shared" si="3"/>
        <v>0</v>
      </c>
    </row>
    <row r="13" spans="1:12" ht="17.25" thickBot="1" x14ac:dyDescent="0.35">
      <c r="B13" s="4"/>
      <c r="C13" s="4" t="s">
        <v>122</v>
      </c>
      <c r="D13" s="4" t="s">
        <v>438</v>
      </c>
      <c r="E13" s="12" t="s">
        <v>588</v>
      </c>
      <c r="F13" s="6" t="b">
        <f t="shared" si="0"/>
        <v>1</v>
      </c>
      <c r="G13" s="6">
        <f t="shared" si="1"/>
        <v>1</v>
      </c>
      <c r="H13" s="6" t="b">
        <f t="shared" si="2"/>
        <v>0</v>
      </c>
      <c r="I13" s="6">
        <f t="shared" si="3"/>
        <v>0</v>
      </c>
    </row>
    <row r="14" spans="1:12" ht="17.25" thickBot="1" x14ac:dyDescent="0.35">
      <c r="B14" s="4"/>
      <c r="C14" s="4"/>
      <c r="D14" s="4" t="s">
        <v>488</v>
      </c>
      <c r="E14" s="12" t="s">
        <v>589</v>
      </c>
      <c r="F14" s="6" t="b">
        <f t="shared" si="0"/>
        <v>1</v>
      </c>
      <c r="G14" s="6">
        <f t="shared" si="1"/>
        <v>1</v>
      </c>
      <c r="H14" s="6" t="b">
        <f t="shared" si="2"/>
        <v>0</v>
      </c>
      <c r="I14" s="6">
        <f t="shared" si="3"/>
        <v>0</v>
      </c>
    </row>
    <row r="15" spans="1:12" ht="17.25" thickBot="1" x14ac:dyDescent="0.35">
      <c r="B15" s="4"/>
      <c r="C15" s="4"/>
      <c r="D15" s="4"/>
      <c r="E15" s="4" t="s">
        <v>590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2" ht="17.25" thickBot="1" x14ac:dyDescent="0.35">
      <c r="B16" s="5"/>
      <c r="C16" s="5"/>
      <c r="D16" s="5"/>
      <c r="E16" s="4" t="s">
        <v>469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IF(hascolor(E12:E16,$L$5)=TRUE, 1, 0)</f>
        <v>0</v>
      </c>
    </row>
    <row r="17" spans="2:10" ht="17.25" thickBot="1" x14ac:dyDescent="0.35">
      <c r="B17" s="6" t="s">
        <v>93</v>
      </c>
      <c r="C17" s="6" t="s">
        <v>123</v>
      </c>
      <c r="D17" s="6" t="s">
        <v>300</v>
      </c>
      <c r="E17" s="13" t="s">
        <v>591</v>
      </c>
      <c r="F17" s="6" t="b">
        <f t="shared" si="0"/>
        <v>1</v>
      </c>
      <c r="G17" s="6">
        <f t="shared" si="1"/>
        <v>1</v>
      </c>
      <c r="H17" s="6" t="b">
        <f t="shared" si="2"/>
        <v>0</v>
      </c>
      <c r="I17" s="6">
        <f t="shared" si="3"/>
        <v>0</v>
      </c>
    </row>
    <row r="18" spans="2:10" ht="17.25" thickBot="1" x14ac:dyDescent="0.35">
      <c r="B18" s="4"/>
      <c r="C18" s="4" t="s">
        <v>124</v>
      </c>
      <c r="D18" s="4" t="s">
        <v>124</v>
      </c>
      <c r="E18" s="12" t="s">
        <v>592</v>
      </c>
      <c r="F18" s="6" t="b">
        <f t="shared" si="0"/>
        <v>1</v>
      </c>
      <c r="G18" s="6">
        <f t="shared" si="1"/>
        <v>1</v>
      </c>
      <c r="H18" s="6" t="b">
        <f t="shared" si="2"/>
        <v>0</v>
      </c>
      <c r="I18" s="6">
        <f t="shared" si="3"/>
        <v>0</v>
      </c>
    </row>
    <row r="19" spans="2:10" ht="17.25" thickBot="1" x14ac:dyDescent="0.35">
      <c r="B19" s="4"/>
      <c r="C19" s="4"/>
      <c r="D19" s="4" t="s">
        <v>489</v>
      </c>
      <c r="E19" s="12" t="s">
        <v>593</v>
      </c>
      <c r="F19" s="6" t="b">
        <f t="shared" si="0"/>
        <v>1</v>
      </c>
      <c r="G19" s="6">
        <f t="shared" si="1"/>
        <v>1</v>
      </c>
      <c r="H19" s="6" t="b">
        <f t="shared" si="2"/>
        <v>0</v>
      </c>
      <c r="I19" s="6">
        <f t="shared" si="3"/>
        <v>0</v>
      </c>
    </row>
    <row r="20" spans="2:10" ht="17.25" thickBot="1" x14ac:dyDescent="0.35">
      <c r="B20" s="4"/>
      <c r="C20" s="4"/>
      <c r="D20" s="4" t="s">
        <v>485</v>
      </c>
      <c r="E20" s="12" t="s">
        <v>594</v>
      </c>
      <c r="F20" s="6" t="b">
        <f t="shared" si="0"/>
        <v>1</v>
      </c>
      <c r="G20" s="6">
        <f t="shared" si="1"/>
        <v>1</v>
      </c>
      <c r="H20" s="6" t="b">
        <f t="shared" si="2"/>
        <v>0</v>
      </c>
      <c r="I20" s="6">
        <f t="shared" si="3"/>
        <v>0</v>
      </c>
    </row>
    <row r="21" spans="2:10" ht="17.25" thickBot="1" x14ac:dyDescent="0.35">
      <c r="B21" s="5"/>
      <c r="C21" s="5"/>
      <c r="D21" s="5"/>
      <c r="E21" s="4" t="s">
        <v>558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IF(hascolor(E17:E21,$L$5)=TRUE, 1, 0)</f>
        <v>0</v>
      </c>
    </row>
    <row r="22" spans="2:10" ht="17.25" thickBot="1" x14ac:dyDescent="0.35">
      <c r="B22" s="6" t="s">
        <v>17</v>
      </c>
      <c r="C22" s="6" t="s">
        <v>125</v>
      </c>
      <c r="D22" s="6" t="s">
        <v>125</v>
      </c>
      <c r="E22" s="13" t="s">
        <v>595</v>
      </c>
      <c r="F22" s="6" t="b">
        <f t="shared" si="0"/>
        <v>1</v>
      </c>
      <c r="G22" s="6">
        <f t="shared" si="1"/>
        <v>1</v>
      </c>
      <c r="H22" s="6" t="b">
        <f t="shared" si="2"/>
        <v>0</v>
      </c>
      <c r="I22" s="6">
        <f t="shared" si="3"/>
        <v>0</v>
      </c>
    </row>
    <row r="23" spans="2:10" ht="17.25" thickBot="1" x14ac:dyDescent="0.35">
      <c r="B23" s="4"/>
      <c r="C23" s="4" t="s">
        <v>126</v>
      </c>
      <c r="D23" s="4" t="s">
        <v>437</v>
      </c>
      <c r="E23" s="12" t="s">
        <v>596</v>
      </c>
      <c r="F23" s="6" t="b">
        <f t="shared" si="0"/>
        <v>1</v>
      </c>
      <c r="G23" s="6">
        <f t="shared" si="1"/>
        <v>1</v>
      </c>
      <c r="H23" s="6" t="b">
        <f t="shared" si="2"/>
        <v>0</v>
      </c>
      <c r="I23" s="6">
        <f t="shared" si="3"/>
        <v>0</v>
      </c>
    </row>
    <row r="24" spans="2:10" ht="17.25" thickBot="1" x14ac:dyDescent="0.35">
      <c r="B24" s="4"/>
      <c r="C24" s="4"/>
      <c r="D24" s="4"/>
      <c r="E24" s="4" t="s">
        <v>597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467</v>
      </c>
      <c r="C25" s="4"/>
      <c r="D25" s="4"/>
      <c r="E25" s="4" t="s">
        <v>598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4" t="s">
        <v>559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IF(hascolor(E22:E26,$L$5)=TRUE, 1, 0)</f>
        <v>0</v>
      </c>
    </row>
    <row r="27" spans="2:10" ht="17.25" thickBot="1" x14ac:dyDescent="0.35">
      <c r="B27" s="6" t="s">
        <v>18</v>
      </c>
      <c r="C27" s="6" t="s">
        <v>127</v>
      </c>
      <c r="D27" s="6" t="s">
        <v>127</v>
      </c>
      <c r="E27" s="13" t="s">
        <v>599</v>
      </c>
      <c r="F27" s="6" t="b">
        <f t="shared" si="0"/>
        <v>1</v>
      </c>
      <c r="G27" s="6">
        <f t="shared" si="1"/>
        <v>1</v>
      </c>
      <c r="H27" s="6" t="b">
        <f t="shared" si="2"/>
        <v>0</v>
      </c>
      <c r="I27" s="6">
        <f t="shared" si="3"/>
        <v>0</v>
      </c>
    </row>
    <row r="28" spans="2:10" ht="17.25" thickBot="1" x14ac:dyDescent="0.35">
      <c r="B28" s="4"/>
      <c r="C28" s="4" t="s">
        <v>128</v>
      </c>
      <c r="D28" s="4" t="s">
        <v>436</v>
      </c>
      <c r="E28" s="12" t="s">
        <v>600</v>
      </c>
      <c r="F28" s="6" t="b">
        <f t="shared" si="0"/>
        <v>1</v>
      </c>
      <c r="G28" s="6">
        <f t="shared" si="1"/>
        <v>1</v>
      </c>
      <c r="H28" s="6" t="b">
        <f t="shared" si="2"/>
        <v>0</v>
      </c>
      <c r="I28" s="6">
        <f t="shared" si="3"/>
        <v>0</v>
      </c>
    </row>
    <row r="29" spans="2:10" ht="17.25" thickBot="1" x14ac:dyDescent="0.35">
      <c r="B29" s="4"/>
      <c r="C29" s="4"/>
      <c r="D29" s="4"/>
      <c r="E29" s="4" t="s">
        <v>601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592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4" t="s">
        <v>560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IF(hascolor(E27:E31,$L$5)=TRUE, 1, 0)</f>
        <v>0</v>
      </c>
    </row>
    <row r="32" spans="2:10" ht="17.25" thickBot="1" x14ac:dyDescent="0.35">
      <c r="B32" s="6" t="s">
        <v>94</v>
      </c>
      <c r="C32" s="6" t="s">
        <v>129</v>
      </c>
      <c r="D32" s="6" t="s">
        <v>301</v>
      </c>
      <c r="E32" s="13" t="s">
        <v>602</v>
      </c>
      <c r="F32" s="6" t="b">
        <f t="shared" si="0"/>
        <v>1</v>
      </c>
      <c r="G32" s="6">
        <f t="shared" si="1"/>
        <v>1</v>
      </c>
      <c r="H32" s="6" t="b">
        <f t="shared" si="2"/>
        <v>0</v>
      </c>
      <c r="I32" s="6">
        <f t="shared" si="3"/>
        <v>0</v>
      </c>
    </row>
    <row r="33" spans="2:10" ht="17.25" thickBot="1" x14ac:dyDescent="0.35">
      <c r="B33" s="4"/>
      <c r="C33" s="4"/>
      <c r="D33" s="4" t="s">
        <v>490</v>
      </c>
      <c r="E33" s="12" t="s">
        <v>603</v>
      </c>
      <c r="F33" s="6" t="b">
        <f t="shared" si="0"/>
        <v>1</v>
      </c>
      <c r="G33" s="6">
        <f t="shared" si="1"/>
        <v>1</v>
      </c>
      <c r="H33" s="6" t="b">
        <f t="shared" si="2"/>
        <v>0</v>
      </c>
      <c r="I33" s="6">
        <f t="shared" si="3"/>
        <v>0</v>
      </c>
    </row>
    <row r="34" spans="2:10" ht="17.25" thickBot="1" x14ac:dyDescent="0.35">
      <c r="B34" s="4"/>
      <c r="C34" s="4"/>
      <c r="D34" s="4" t="s">
        <v>491</v>
      </c>
      <c r="E34" s="4" t="s">
        <v>604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4" t="s">
        <v>605</v>
      </c>
      <c r="F35" s="6" t="b">
        <f t="shared" si="0"/>
        <v>0</v>
      </c>
      <c r="G35" s="6">
        <f t="shared" si="1"/>
        <v>0</v>
      </c>
      <c r="H35" s="6" t="b">
        <f t="shared" si="2"/>
        <v>0</v>
      </c>
      <c r="I35" s="6">
        <f t="shared" si="3"/>
        <v>0</v>
      </c>
    </row>
    <row r="36" spans="2:10" ht="17.25" thickBot="1" x14ac:dyDescent="0.35">
      <c r="B36" s="5"/>
      <c r="C36" s="5"/>
      <c r="D36" s="5"/>
      <c r="E36" s="4" t="s">
        <v>468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IF(hascolor(E32:E36,$L$5)=TRUE, 1, 0)</f>
        <v>0</v>
      </c>
    </row>
    <row r="37" spans="2:10" ht="17.25" thickBot="1" x14ac:dyDescent="0.35">
      <c r="B37" s="6" t="s">
        <v>19</v>
      </c>
      <c r="C37" s="6" t="s">
        <v>130</v>
      </c>
      <c r="D37" s="6" t="s">
        <v>301</v>
      </c>
      <c r="E37" s="6" t="s">
        <v>606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131</v>
      </c>
      <c r="D38" s="4" t="s">
        <v>131</v>
      </c>
      <c r="E38" s="4" t="s">
        <v>603</v>
      </c>
      <c r="F38" s="6" t="b">
        <f t="shared" si="0"/>
        <v>1</v>
      </c>
      <c r="G38" s="6">
        <f t="shared" si="1"/>
        <v>1</v>
      </c>
      <c r="H38" s="6" t="b">
        <f t="shared" si="2"/>
        <v>0</v>
      </c>
      <c r="I38" s="6">
        <f t="shared" si="3"/>
        <v>0</v>
      </c>
    </row>
    <row r="39" spans="2:10" ht="17.25" thickBot="1" x14ac:dyDescent="0.35">
      <c r="B39" s="4"/>
      <c r="C39" s="4"/>
      <c r="D39" s="4" t="s">
        <v>492</v>
      </c>
      <c r="E39" s="12" t="s">
        <v>607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608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4" t="s">
        <v>522</v>
      </c>
      <c r="F41" s="6" t="b">
        <f t="shared" si="0"/>
        <v>0</v>
      </c>
      <c r="G41" s="6">
        <f t="shared" si="1"/>
        <v>0</v>
      </c>
      <c r="H41" s="6" t="b">
        <f t="shared" si="2"/>
        <v>0</v>
      </c>
      <c r="I41" s="6">
        <f t="shared" si="3"/>
        <v>0</v>
      </c>
      <c r="J41">
        <f t="shared" ref="J41" si="10">IF(hascolor(E37:E41,$L$5)=TRUE, 1, 0)</f>
        <v>0</v>
      </c>
    </row>
    <row r="42" spans="2:10" ht="17.25" thickBot="1" x14ac:dyDescent="0.35">
      <c r="B42" s="6" t="s">
        <v>20</v>
      </c>
      <c r="C42" s="6" t="s">
        <v>132</v>
      </c>
      <c r="D42" s="6" t="s">
        <v>302</v>
      </c>
      <c r="E42" s="13" t="s">
        <v>584</v>
      </c>
      <c r="F42" s="6" t="b">
        <f t="shared" si="0"/>
        <v>1</v>
      </c>
      <c r="G42" s="6">
        <f t="shared" si="1"/>
        <v>1</v>
      </c>
      <c r="H42" s="6" t="b">
        <f t="shared" si="2"/>
        <v>0</v>
      </c>
      <c r="I42" s="6">
        <f t="shared" si="3"/>
        <v>0</v>
      </c>
    </row>
    <row r="43" spans="2:10" ht="17.25" thickBot="1" x14ac:dyDescent="0.35">
      <c r="B43" s="4"/>
      <c r="C43" s="4" t="s">
        <v>463</v>
      </c>
      <c r="D43" s="4" t="s">
        <v>493</v>
      </c>
      <c r="E43" s="12" t="s">
        <v>609</v>
      </c>
      <c r="F43" s="6" t="b">
        <f t="shared" si="0"/>
        <v>1</v>
      </c>
      <c r="G43" s="6">
        <f t="shared" si="1"/>
        <v>1</v>
      </c>
      <c r="H43" s="6" t="b">
        <f t="shared" si="2"/>
        <v>0</v>
      </c>
      <c r="I43" s="6">
        <f t="shared" si="3"/>
        <v>0</v>
      </c>
    </row>
    <row r="44" spans="2:10" ht="17.25" thickBot="1" x14ac:dyDescent="0.35">
      <c r="B44" s="4"/>
      <c r="C44" s="4"/>
      <c r="D44" s="4"/>
      <c r="E44" s="4" t="s">
        <v>598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610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4" t="s">
        <v>561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IF(hascolor(E42:E46,$L$5)=TRUE, 1, 0)</f>
        <v>0</v>
      </c>
    </row>
    <row r="47" spans="2:10" ht="17.25" thickBot="1" x14ac:dyDescent="0.35">
      <c r="B47" s="6" t="s">
        <v>95</v>
      </c>
      <c r="C47" s="6" t="s">
        <v>133</v>
      </c>
      <c r="D47" s="6" t="s">
        <v>303</v>
      </c>
      <c r="E47" s="13" t="s">
        <v>599</v>
      </c>
      <c r="F47" s="6" t="b">
        <f t="shared" si="0"/>
        <v>1</v>
      </c>
      <c r="G47" s="6">
        <f t="shared" si="1"/>
        <v>1</v>
      </c>
      <c r="H47" s="6" t="b">
        <f t="shared" si="2"/>
        <v>0</v>
      </c>
      <c r="I47" s="6">
        <f t="shared" si="3"/>
        <v>0</v>
      </c>
    </row>
    <row r="48" spans="2:10" ht="17.25" thickBot="1" x14ac:dyDescent="0.35">
      <c r="B48" s="4"/>
      <c r="C48" s="4" t="s">
        <v>134</v>
      </c>
      <c r="D48" s="4" t="s">
        <v>436</v>
      </c>
      <c r="E48" s="4" t="s">
        <v>611</v>
      </c>
      <c r="F48" s="6" t="b">
        <f t="shared" si="0"/>
        <v>1</v>
      </c>
      <c r="G48" s="6">
        <f t="shared" si="1"/>
        <v>1</v>
      </c>
      <c r="H48" s="6" t="b">
        <f t="shared" si="2"/>
        <v>0</v>
      </c>
      <c r="I48" s="6">
        <f t="shared" si="3"/>
        <v>0</v>
      </c>
    </row>
    <row r="49" spans="1:13" ht="17.25" thickBot="1" x14ac:dyDescent="0.35">
      <c r="B49" s="4"/>
      <c r="C49" s="4"/>
      <c r="D49" s="4"/>
      <c r="E49" s="12" t="s">
        <v>600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3" ht="17.25" thickBot="1" x14ac:dyDescent="0.35">
      <c r="B50" s="4"/>
      <c r="C50" s="4"/>
      <c r="D50" s="4"/>
      <c r="E50" s="4" t="s">
        <v>612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3" ht="17.25" thickBot="1" x14ac:dyDescent="0.35">
      <c r="B51" s="5"/>
      <c r="C51" s="5"/>
      <c r="D51" s="5"/>
      <c r="E51" s="4" t="s">
        <v>523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IF(hascolor(E47:E51,$L$5)=TRUE, 1, 0)</f>
        <v>0</v>
      </c>
      <c r="K51">
        <f>SUM(J2:J51)</f>
        <v>0</v>
      </c>
      <c r="M51">
        <f>SUM(I2:I51)</f>
        <v>0</v>
      </c>
    </row>
    <row r="52" spans="1:13" ht="17.25" thickBot="1" x14ac:dyDescent="0.35">
      <c r="A52" s="2" t="s">
        <v>108</v>
      </c>
      <c r="B52" s="6" t="s">
        <v>21</v>
      </c>
      <c r="C52" s="4" t="s">
        <v>153</v>
      </c>
      <c r="D52" s="4" t="s">
        <v>304</v>
      </c>
      <c r="E52" s="13" t="s">
        <v>613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3" ht="17.25" thickBot="1" x14ac:dyDescent="0.35">
      <c r="B53" s="4"/>
      <c r="C53" s="4" t="s">
        <v>154</v>
      </c>
      <c r="D53" s="4" t="s">
        <v>305</v>
      </c>
      <c r="E53" s="4" t="s">
        <v>614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3" ht="17.25" thickBot="1" x14ac:dyDescent="0.35">
      <c r="B54" s="4"/>
      <c r="C54" s="4" t="s">
        <v>155</v>
      </c>
      <c r="D54" s="4" t="s">
        <v>306</v>
      </c>
      <c r="E54" s="4" t="s">
        <v>615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3" ht="17.25" thickBot="1" x14ac:dyDescent="0.35">
      <c r="B55" s="4"/>
      <c r="C55" s="4" t="s">
        <v>156</v>
      </c>
      <c r="E55" s="4" t="s">
        <v>616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3" ht="17.25" thickBot="1" x14ac:dyDescent="0.35">
      <c r="B56" s="5"/>
      <c r="C56" s="4" t="s">
        <v>148</v>
      </c>
      <c r="E56" s="4" t="s">
        <v>524</v>
      </c>
      <c r="F56" s="6" t="b">
        <f t="shared" si="0"/>
        <v>0</v>
      </c>
      <c r="G56" s="6">
        <f t="shared" si="1"/>
        <v>0</v>
      </c>
      <c r="H56" s="6" t="b">
        <f t="shared" si="2"/>
        <v>0</v>
      </c>
      <c r="I56" s="6">
        <f t="shared" si="3"/>
        <v>0</v>
      </c>
      <c r="J56">
        <f t="shared" ref="J56" si="13">IF(hascolor(E52:E56,$L$5)=TRUE, 1, 0)</f>
        <v>0</v>
      </c>
    </row>
    <row r="57" spans="1:13" ht="17.25" thickBot="1" x14ac:dyDescent="0.35">
      <c r="B57" s="6" t="s">
        <v>96</v>
      </c>
      <c r="C57" s="6" t="s">
        <v>135</v>
      </c>
      <c r="D57" s="6" t="s">
        <v>306</v>
      </c>
      <c r="E57" s="6" t="s">
        <v>617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3" ht="17.25" thickBot="1" x14ac:dyDescent="0.35">
      <c r="B58" s="4"/>
      <c r="C58" s="4" t="s">
        <v>136</v>
      </c>
      <c r="D58" s="4" t="s">
        <v>307</v>
      </c>
      <c r="E58" s="4" t="s">
        <v>618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3" ht="17.25" thickBot="1" x14ac:dyDescent="0.35">
      <c r="B59" s="4"/>
      <c r="C59" s="4"/>
      <c r="D59" s="4"/>
      <c r="E59" s="12" t="s">
        <v>619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3" ht="17.25" thickBot="1" x14ac:dyDescent="0.35">
      <c r="B60" s="4"/>
      <c r="C60" s="4"/>
      <c r="D60" s="4"/>
      <c r="E60" s="12" t="s">
        <v>620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3" ht="17.25" thickBot="1" x14ac:dyDescent="0.35">
      <c r="B61" s="5"/>
      <c r="C61" s="5"/>
      <c r="D61" s="5"/>
      <c r="E61" s="4" t="s">
        <v>514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IF(hascolor(E57:E61,$L$5)=TRUE, 1, 0)</f>
        <v>0</v>
      </c>
    </row>
    <row r="62" spans="1:13" ht="17.25" thickBot="1" x14ac:dyDescent="0.35">
      <c r="B62" s="6" t="s">
        <v>22</v>
      </c>
      <c r="C62" s="6" t="s">
        <v>137</v>
      </c>
      <c r="D62" s="6" t="s">
        <v>308</v>
      </c>
      <c r="E62" s="13" t="s">
        <v>621</v>
      </c>
      <c r="F62" s="6" t="b">
        <f t="shared" si="0"/>
        <v>1</v>
      </c>
      <c r="G62" s="6">
        <f t="shared" si="1"/>
        <v>1</v>
      </c>
      <c r="H62" s="6" t="b">
        <f t="shared" si="2"/>
        <v>0</v>
      </c>
      <c r="I62" s="6">
        <f t="shared" si="3"/>
        <v>0</v>
      </c>
    </row>
    <row r="63" spans="1:13" ht="17.25" thickBot="1" x14ac:dyDescent="0.35">
      <c r="B63" s="4"/>
      <c r="C63" s="4" t="s">
        <v>138</v>
      </c>
      <c r="D63" s="4" t="s">
        <v>432</v>
      </c>
      <c r="E63" s="4" t="s">
        <v>622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3" ht="17.25" thickBot="1" x14ac:dyDescent="0.35">
      <c r="B64" s="4"/>
      <c r="C64" s="4" t="s">
        <v>139</v>
      </c>
      <c r="D64" s="4" t="s">
        <v>309</v>
      </c>
      <c r="E64" s="4" t="s">
        <v>623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140</v>
      </c>
      <c r="D65" s="4"/>
      <c r="E65" s="4" t="s">
        <v>624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4" t="s">
        <v>562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IF(hascolor(E62:E66,$L$5)=TRUE, 1, 0)</f>
        <v>0</v>
      </c>
    </row>
    <row r="67" spans="2:10" ht="17.25" thickBot="1" x14ac:dyDescent="0.35">
      <c r="B67" s="6" t="s">
        <v>23</v>
      </c>
      <c r="C67" s="6" t="s">
        <v>141</v>
      </c>
      <c r="D67" s="6" t="s">
        <v>310</v>
      </c>
      <c r="E67" s="13" t="s">
        <v>625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hascolor(E67,$L$5)</f>
        <v>0</v>
      </c>
      <c r="I67" s="6">
        <f t="shared" ref="I67:I130" si="19">IF(H67, 1, 0)</f>
        <v>0</v>
      </c>
    </row>
    <row r="68" spans="2:10" ht="17.25" thickBot="1" x14ac:dyDescent="0.35">
      <c r="B68" s="4"/>
      <c r="C68" s="4" t="s">
        <v>142</v>
      </c>
      <c r="D68" s="4" t="s">
        <v>433</v>
      </c>
      <c r="E68" s="4" t="s">
        <v>626</v>
      </c>
      <c r="F68" s="6" t="b">
        <f t="shared" si="16"/>
        <v>1</v>
      </c>
      <c r="G68" s="6">
        <f t="shared" si="17"/>
        <v>1</v>
      </c>
      <c r="H68" s="6" t="b">
        <f t="shared" si="18"/>
        <v>0</v>
      </c>
      <c r="I68" s="6">
        <f t="shared" si="19"/>
        <v>0</v>
      </c>
    </row>
    <row r="69" spans="2:10" ht="17.25" thickBot="1" x14ac:dyDescent="0.35">
      <c r="B69" s="4"/>
      <c r="C69" s="4"/>
      <c r="D69" s="4" t="s">
        <v>482</v>
      </c>
      <c r="E69" s="4" t="s">
        <v>627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12" t="s">
        <v>628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4" t="s">
        <v>502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IF(hascolor(E67:E71,$L$5)=TRUE, 1, 0)</f>
        <v>0</v>
      </c>
    </row>
    <row r="72" spans="2:10" ht="17.25" thickBot="1" x14ac:dyDescent="0.35">
      <c r="B72" s="6" t="s">
        <v>24</v>
      </c>
      <c r="C72" s="6" t="s">
        <v>143</v>
      </c>
      <c r="D72" s="6" t="s">
        <v>311</v>
      </c>
      <c r="E72" s="13" t="s">
        <v>629</v>
      </c>
      <c r="F72" s="6" t="b">
        <f t="shared" si="16"/>
        <v>1</v>
      </c>
      <c r="G72" s="6">
        <f t="shared" si="17"/>
        <v>1</v>
      </c>
      <c r="H72" s="6" t="b">
        <f t="shared" si="18"/>
        <v>0</v>
      </c>
      <c r="I72" s="6">
        <f t="shared" si="19"/>
        <v>0</v>
      </c>
    </row>
    <row r="73" spans="2:10" ht="17.25" thickBot="1" x14ac:dyDescent="0.35">
      <c r="B73" s="4"/>
      <c r="C73" s="4" t="s">
        <v>144</v>
      </c>
      <c r="D73" s="4" t="s">
        <v>434</v>
      </c>
      <c r="E73" s="4" t="s">
        <v>630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145</v>
      </c>
      <c r="E74" s="12" t="s">
        <v>631</v>
      </c>
      <c r="F74" s="6" t="b">
        <f t="shared" si="16"/>
        <v>0</v>
      </c>
      <c r="G74" s="6">
        <f t="shared" si="17"/>
        <v>0</v>
      </c>
      <c r="H74" s="6" t="b">
        <f t="shared" si="18"/>
        <v>0</v>
      </c>
      <c r="I74" s="6">
        <f t="shared" si="19"/>
        <v>0</v>
      </c>
    </row>
    <row r="75" spans="2:10" ht="17.25" thickBot="1" x14ac:dyDescent="0.35">
      <c r="B75" s="4"/>
      <c r="C75" s="4"/>
      <c r="D75" s="4"/>
      <c r="E75" s="4" t="s">
        <v>632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4" t="s">
        <v>525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IF(hascolor(E72:E76,$L$5)=TRUE, 1, 0)</f>
        <v>0</v>
      </c>
    </row>
    <row r="77" spans="2:10" ht="17.25" thickBot="1" x14ac:dyDescent="0.35">
      <c r="B77" s="6" t="s">
        <v>25</v>
      </c>
      <c r="C77" s="6" t="s">
        <v>141</v>
      </c>
      <c r="D77" s="6" t="s">
        <v>310</v>
      </c>
      <c r="E77" s="13" t="s">
        <v>628</v>
      </c>
      <c r="F77" s="6" t="b">
        <f t="shared" si="16"/>
        <v>1</v>
      </c>
      <c r="G77" s="6">
        <f t="shared" si="17"/>
        <v>1</v>
      </c>
      <c r="H77" s="6" t="b">
        <f t="shared" si="18"/>
        <v>0</v>
      </c>
      <c r="I77" s="6">
        <f t="shared" si="19"/>
        <v>0</v>
      </c>
    </row>
    <row r="78" spans="2:10" ht="17.25" thickBot="1" x14ac:dyDescent="0.35">
      <c r="B78" s="4"/>
      <c r="C78" s="4" t="s">
        <v>142</v>
      </c>
      <c r="D78" s="4" t="s">
        <v>433</v>
      </c>
      <c r="E78" s="4" t="s">
        <v>626</v>
      </c>
      <c r="F78" s="6" t="b">
        <f t="shared" si="16"/>
        <v>1</v>
      </c>
      <c r="G78" s="6">
        <f t="shared" si="17"/>
        <v>1</v>
      </c>
      <c r="H78" s="6" t="b">
        <f t="shared" si="18"/>
        <v>0</v>
      </c>
      <c r="I78" s="6">
        <f t="shared" si="19"/>
        <v>0</v>
      </c>
    </row>
    <row r="79" spans="2:10" ht="17.25" thickBot="1" x14ac:dyDescent="0.35">
      <c r="B79" s="4"/>
      <c r="C79" s="4"/>
      <c r="D79" s="4" t="s">
        <v>482</v>
      </c>
      <c r="E79" s="4" t="s">
        <v>633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12" t="s">
        <v>625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4" t="s">
        <v>502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IF(hascolor(E77:E81,$L$5)=TRUE, 1, 0)</f>
        <v>0</v>
      </c>
    </row>
    <row r="82" spans="2:10" ht="17.25" thickBot="1" x14ac:dyDescent="0.35">
      <c r="B82" s="6" t="s">
        <v>97</v>
      </c>
      <c r="C82" s="6" t="s">
        <v>136</v>
      </c>
      <c r="D82" s="6" t="s">
        <v>307</v>
      </c>
      <c r="E82" s="13" t="s">
        <v>619</v>
      </c>
      <c r="F82" s="6" t="b">
        <f t="shared" si="16"/>
        <v>1</v>
      </c>
      <c r="G82" s="6">
        <f t="shared" si="17"/>
        <v>1</v>
      </c>
      <c r="H82" s="6" t="b">
        <f t="shared" si="18"/>
        <v>0</v>
      </c>
      <c r="I82" s="6">
        <f t="shared" si="19"/>
        <v>0</v>
      </c>
    </row>
    <row r="83" spans="2:10" ht="17.25" thickBot="1" x14ac:dyDescent="0.35">
      <c r="B83" s="4"/>
      <c r="C83" s="4" t="s">
        <v>146</v>
      </c>
      <c r="D83" s="4" t="s">
        <v>431</v>
      </c>
      <c r="E83" s="4" t="s">
        <v>634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135</v>
      </c>
      <c r="D84" s="4" t="s">
        <v>306</v>
      </c>
      <c r="E84" s="4" t="s">
        <v>635</v>
      </c>
      <c r="F84" s="6" t="b">
        <f t="shared" si="16"/>
        <v>1</v>
      </c>
      <c r="G84" s="6">
        <f t="shared" si="17"/>
        <v>1</v>
      </c>
      <c r="H84" s="6" t="b">
        <f t="shared" si="18"/>
        <v>0</v>
      </c>
      <c r="I84" s="6">
        <f t="shared" si="19"/>
        <v>0</v>
      </c>
    </row>
    <row r="85" spans="2:10" ht="17.25" thickBot="1" x14ac:dyDescent="0.35">
      <c r="B85" s="4"/>
      <c r="C85" s="4"/>
      <c r="D85" s="4"/>
      <c r="E85" s="12" t="s">
        <v>620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4" t="s">
        <v>526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IF(hascolor(E82:E86,$L$5)=TRUE, 1, 0)</f>
        <v>0</v>
      </c>
    </row>
    <row r="87" spans="2:10" ht="17.25" thickBot="1" x14ac:dyDescent="0.35">
      <c r="B87" s="6" t="s">
        <v>98</v>
      </c>
      <c r="C87" s="4" t="s">
        <v>147</v>
      </c>
      <c r="D87" s="4" t="s">
        <v>312</v>
      </c>
      <c r="E87" s="13" t="s">
        <v>636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148</v>
      </c>
      <c r="D88" s="4" t="s">
        <v>306</v>
      </c>
      <c r="E88" s="4" t="s">
        <v>637</v>
      </c>
      <c r="F88" s="6" t="b">
        <f t="shared" si="16"/>
        <v>1</v>
      </c>
      <c r="G88" s="6">
        <f t="shared" si="17"/>
        <v>1</v>
      </c>
      <c r="H88" s="6" t="b">
        <f t="shared" si="18"/>
        <v>0</v>
      </c>
      <c r="I88" s="6">
        <f t="shared" si="19"/>
        <v>0</v>
      </c>
    </row>
    <row r="89" spans="2:10" ht="17.25" thickBot="1" x14ac:dyDescent="0.35">
      <c r="B89" s="4"/>
      <c r="E89" s="4" t="s">
        <v>638</v>
      </c>
      <c r="F89" s="6" t="b">
        <f t="shared" si="16"/>
        <v>0</v>
      </c>
      <c r="G89" s="6">
        <f t="shared" si="17"/>
        <v>0</v>
      </c>
      <c r="H89" s="6" t="b">
        <f t="shared" si="18"/>
        <v>0</v>
      </c>
      <c r="I89" s="6">
        <f t="shared" si="19"/>
        <v>0</v>
      </c>
    </row>
    <row r="90" spans="2:10" ht="17.25" thickBot="1" x14ac:dyDescent="0.35">
      <c r="B90" s="4"/>
      <c r="C90" s="4"/>
      <c r="D90" s="4"/>
      <c r="E90" s="4" t="s">
        <v>639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4" t="s">
        <v>563</v>
      </c>
      <c r="F91" s="6" t="b">
        <f t="shared" si="16"/>
        <v>0</v>
      </c>
      <c r="G91" s="6">
        <f t="shared" si="17"/>
        <v>0</v>
      </c>
      <c r="H91" s="6" t="b">
        <f t="shared" si="18"/>
        <v>0</v>
      </c>
      <c r="I91" s="6">
        <f t="shared" si="19"/>
        <v>0</v>
      </c>
      <c r="J91">
        <f t="shared" ref="J91" si="24">IF(hascolor(E87:E91,$L$5)=TRUE, 1, 0)</f>
        <v>0</v>
      </c>
    </row>
    <row r="92" spans="2:10" ht="17.25" thickBot="1" x14ac:dyDescent="0.35">
      <c r="B92" s="6" t="s">
        <v>26</v>
      </c>
      <c r="C92" s="6" t="s">
        <v>149</v>
      </c>
      <c r="D92" s="6" t="s">
        <v>313</v>
      </c>
      <c r="E92" s="13" t="s">
        <v>614</v>
      </c>
      <c r="F92" s="6" t="b">
        <f t="shared" si="16"/>
        <v>1</v>
      </c>
      <c r="G92" s="6">
        <f t="shared" si="17"/>
        <v>1</v>
      </c>
      <c r="H92" s="6" t="b">
        <f t="shared" si="18"/>
        <v>0</v>
      </c>
      <c r="I92" s="6">
        <f t="shared" si="19"/>
        <v>0</v>
      </c>
    </row>
    <row r="93" spans="2:10" ht="17.25" thickBot="1" x14ac:dyDescent="0.35">
      <c r="B93" s="4"/>
      <c r="C93" s="4" t="s">
        <v>150</v>
      </c>
      <c r="D93" s="4" t="s">
        <v>435</v>
      </c>
      <c r="E93" s="12" t="s">
        <v>640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s="4" t="s">
        <v>641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642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4" t="s">
        <v>503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IF(hascolor(E92:E96,$L$5)=TRUE, 1, 0)</f>
        <v>0</v>
      </c>
    </row>
    <row r="97" spans="1:13" ht="17.25" thickBot="1" x14ac:dyDescent="0.35">
      <c r="B97" s="6" t="s">
        <v>99</v>
      </c>
      <c r="C97" s="6" t="s">
        <v>151</v>
      </c>
      <c r="D97" s="6" t="s">
        <v>314</v>
      </c>
      <c r="E97" s="6" t="s">
        <v>643</v>
      </c>
      <c r="F97" s="6" t="b">
        <f t="shared" si="16"/>
        <v>1</v>
      </c>
      <c r="G97" s="6">
        <f t="shared" si="17"/>
        <v>1</v>
      </c>
      <c r="H97" s="6" t="b">
        <f t="shared" si="18"/>
        <v>0</v>
      </c>
      <c r="I97" s="6">
        <f t="shared" si="19"/>
        <v>0</v>
      </c>
    </row>
    <row r="98" spans="1:13" ht="17.25" thickBot="1" x14ac:dyDescent="0.35">
      <c r="B98" s="4"/>
      <c r="C98" s="4" t="s">
        <v>152</v>
      </c>
      <c r="D98" s="4" t="s">
        <v>431</v>
      </c>
      <c r="E98" s="12" t="s">
        <v>644</v>
      </c>
      <c r="F98" s="6" t="b">
        <f t="shared" si="16"/>
        <v>1</v>
      </c>
      <c r="G98" s="6">
        <f t="shared" si="17"/>
        <v>1</v>
      </c>
      <c r="H98" s="6" t="b">
        <f t="shared" si="18"/>
        <v>0</v>
      </c>
      <c r="I98" s="6">
        <f t="shared" si="19"/>
        <v>0</v>
      </c>
    </row>
    <row r="99" spans="1:13" ht="17.25" thickBot="1" x14ac:dyDescent="0.35">
      <c r="B99" s="4"/>
      <c r="C99" s="4"/>
      <c r="D99" s="4"/>
      <c r="E99" s="12" t="s">
        <v>645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3" ht="17.25" thickBot="1" x14ac:dyDescent="0.35">
      <c r="B100" s="4"/>
      <c r="C100" s="4"/>
      <c r="D100" s="4"/>
      <c r="E100" s="4" t="s">
        <v>646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3" ht="17.25" thickBot="1" x14ac:dyDescent="0.35">
      <c r="B101" s="5"/>
      <c r="C101" s="5"/>
      <c r="D101" s="5"/>
      <c r="E101" s="4" t="s">
        <v>527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IF(hascolor(E97:E101,$L$5)=TRUE, 1, 0)</f>
        <v>0</v>
      </c>
      <c r="K101">
        <f>SUM(J52:J101)</f>
        <v>0</v>
      </c>
      <c r="M101">
        <f>SUM(I52:I101)</f>
        <v>0</v>
      </c>
    </row>
    <row r="102" spans="1:13" ht="17.25" thickBot="1" x14ac:dyDescent="0.35">
      <c r="A102" s="2" t="s">
        <v>109</v>
      </c>
      <c r="B102" s="6" t="s">
        <v>27</v>
      </c>
      <c r="C102" s="6" t="s">
        <v>157</v>
      </c>
      <c r="D102" s="6" t="s">
        <v>157</v>
      </c>
      <c r="E102" s="13" t="s">
        <v>647</v>
      </c>
      <c r="F102" s="6" t="b">
        <f t="shared" si="16"/>
        <v>1</v>
      </c>
      <c r="G102" s="6">
        <f t="shared" si="17"/>
        <v>1</v>
      </c>
      <c r="H102" s="6" t="b">
        <f t="shared" si="18"/>
        <v>0</v>
      </c>
      <c r="I102" s="6">
        <f t="shared" si="19"/>
        <v>0</v>
      </c>
    </row>
    <row r="103" spans="1:13" ht="17.25" thickBot="1" x14ac:dyDescent="0.35">
      <c r="B103" s="4"/>
      <c r="C103" s="4" t="s">
        <v>158</v>
      </c>
      <c r="D103" s="4" t="s">
        <v>315</v>
      </c>
      <c r="E103" s="4" t="s">
        <v>648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3" ht="17.25" thickBot="1" x14ac:dyDescent="0.35">
      <c r="B104" s="4"/>
      <c r="C104" s="4" t="s">
        <v>159</v>
      </c>
      <c r="D104" s="4" t="s">
        <v>428</v>
      </c>
      <c r="E104" s="4" t="s">
        <v>649</v>
      </c>
      <c r="F104" s="6" t="b">
        <f t="shared" si="16"/>
        <v>1</v>
      </c>
      <c r="G104" s="6">
        <f t="shared" si="17"/>
        <v>1</v>
      </c>
      <c r="H104" s="6" t="b">
        <f t="shared" si="18"/>
        <v>0</v>
      </c>
      <c r="I104" s="6">
        <f t="shared" si="19"/>
        <v>0</v>
      </c>
    </row>
    <row r="105" spans="1:13" ht="17.25" thickBot="1" x14ac:dyDescent="0.35">
      <c r="B105" s="4"/>
      <c r="C105" s="4"/>
      <c r="D105" s="4"/>
      <c r="E105" s="4" t="s">
        <v>650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3" ht="17.25" thickBot="1" x14ac:dyDescent="0.35">
      <c r="B106" s="5"/>
      <c r="C106" s="5"/>
      <c r="D106" s="5"/>
      <c r="E106" s="4" t="s">
        <v>528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IF(hascolor(E102:E106,$L$5)=TRUE, 1, 0)</f>
        <v>0</v>
      </c>
    </row>
    <row r="107" spans="1:13" ht="17.25" thickBot="1" x14ac:dyDescent="0.35">
      <c r="B107" s="6" t="s">
        <v>100</v>
      </c>
      <c r="C107" s="6" t="s">
        <v>160</v>
      </c>
      <c r="D107" s="6" t="s">
        <v>316</v>
      </c>
      <c r="E107" s="13" t="s">
        <v>649</v>
      </c>
      <c r="F107" s="6" t="b">
        <f t="shared" si="16"/>
        <v>1</v>
      </c>
      <c r="G107" s="6">
        <f t="shared" si="17"/>
        <v>1</v>
      </c>
      <c r="H107" s="6" t="b">
        <f t="shared" si="18"/>
        <v>0</v>
      </c>
      <c r="I107" s="6">
        <f t="shared" si="19"/>
        <v>0</v>
      </c>
    </row>
    <row r="108" spans="1:13" ht="17.25" thickBot="1" x14ac:dyDescent="0.35">
      <c r="B108" s="4"/>
      <c r="C108" s="4" t="s">
        <v>161</v>
      </c>
      <c r="D108" s="4" t="s">
        <v>427</v>
      </c>
      <c r="E108" s="12" t="s">
        <v>651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3" ht="17.25" thickBot="1" x14ac:dyDescent="0.35">
      <c r="B109" s="4"/>
      <c r="C109" s="4"/>
      <c r="D109" s="4"/>
      <c r="E109" s="4" t="s">
        <v>648</v>
      </c>
      <c r="F109" s="6" t="b">
        <f t="shared" si="16"/>
        <v>0</v>
      </c>
      <c r="G109" s="6">
        <f t="shared" si="17"/>
        <v>0</v>
      </c>
      <c r="H109" s="6" t="b">
        <f t="shared" si="18"/>
        <v>0</v>
      </c>
      <c r="I109" s="6">
        <f t="shared" si="19"/>
        <v>0</v>
      </c>
    </row>
    <row r="110" spans="1:13" ht="17.25" thickBot="1" x14ac:dyDescent="0.35">
      <c r="B110" s="4"/>
      <c r="C110" s="4"/>
      <c r="D110" s="4"/>
      <c r="E110" s="4" t="s">
        <v>652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3" ht="17.25" thickBot="1" x14ac:dyDescent="0.35">
      <c r="B111" s="5"/>
      <c r="C111" s="5"/>
      <c r="D111" s="5"/>
      <c r="E111" s="4" t="s">
        <v>564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IF(hascolor(E107:E111,$L$5)=TRUE, 1, 0)</f>
        <v>0</v>
      </c>
    </row>
    <row r="112" spans="1:13" ht="17.25" thickBot="1" x14ac:dyDescent="0.35">
      <c r="B112" s="6" t="s">
        <v>101</v>
      </c>
      <c r="C112" s="6" t="s">
        <v>162</v>
      </c>
      <c r="D112" s="6" t="s">
        <v>317</v>
      </c>
      <c r="E112" s="6" t="s">
        <v>653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163</v>
      </c>
      <c r="D113" s="4" t="s">
        <v>424</v>
      </c>
      <c r="E113" s="12" t="s">
        <v>654</v>
      </c>
      <c r="F113" s="6" t="b">
        <f t="shared" si="16"/>
        <v>1</v>
      </c>
      <c r="G113" s="6">
        <f t="shared" si="17"/>
        <v>1</v>
      </c>
      <c r="H113" s="6" t="b">
        <f t="shared" si="18"/>
        <v>0</v>
      </c>
      <c r="I113" s="6">
        <f t="shared" si="19"/>
        <v>0</v>
      </c>
    </row>
    <row r="114" spans="2:10" ht="17.25" thickBot="1" x14ac:dyDescent="0.35">
      <c r="B114" s="4"/>
      <c r="C114" s="4"/>
      <c r="D114" s="4"/>
      <c r="E114" s="4" t="s">
        <v>655</v>
      </c>
      <c r="F114" s="6" t="b">
        <f t="shared" si="16"/>
        <v>0</v>
      </c>
      <c r="G114" s="6">
        <f t="shared" si="17"/>
        <v>0</v>
      </c>
      <c r="H114" s="6" t="b">
        <f t="shared" si="18"/>
        <v>0</v>
      </c>
      <c r="I114" s="6">
        <f t="shared" si="19"/>
        <v>0</v>
      </c>
    </row>
    <row r="115" spans="2:10" ht="17.25" thickBot="1" x14ac:dyDescent="0.35">
      <c r="B115" s="4"/>
      <c r="C115" s="4"/>
      <c r="D115" s="4"/>
      <c r="E115" s="12" t="s">
        <v>656</v>
      </c>
      <c r="F115" s="6" t="b">
        <f t="shared" si="16"/>
        <v>0</v>
      </c>
      <c r="G115" s="6">
        <f t="shared" si="17"/>
        <v>0</v>
      </c>
      <c r="H115" s="6" t="b">
        <f t="shared" si="18"/>
        <v>0</v>
      </c>
      <c r="I115" s="6">
        <f t="shared" si="19"/>
        <v>0</v>
      </c>
    </row>
    <row r="116" spans="2:10" ht="17.25" thickBot="1" x14ac:dyDescent="0.35">
      <c r="B116" s="5"/>
      <c r="C116" s="5"/>
      <c r="D116" s="5"/>
      <c r="E116" s="4" t="s">
        <v>565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IF(hascolor(E112:E116,$L$5)=TRUE, 1, 0)</f>
        <v>0</v>
      </c>
    </row>
    <row r="117" spans="2:10" ht="17.25" thickBot="1" x14ac:dyDescent="0.35">
      <c r="B117" s="6" t="s">
        <v>28</v>
      </c>
      <c r="C117" s="6" t="s">
        <v>164</v>
      </c>
      <c r="D117" s="6" t="s">
        <v>318</v>
      </c>
      <c r="E117" s="13" t="s">
        <v>657</v>
      </c>
      <c r="F117" s="6" t="b">
        <f t="shared" si="16"/>
        <v>1</v>
      </c>
      <c r="G117" s="6">
        <f t="shared" si="17"/>
        <v>1</v>
      </c>
      <c r="H117" s="6" t="b">
        <f t="shared" si="18"/>
        <v>0</v>
      </c>
      <c r="I117" s="6">
        <f t="shared" si="19"/>
        <v>0</v>
      </c>
    </row>
    <row r="118" spans="2:10" ht="17.25" thickBot="1" x14ac:dyDescent="0.35">
      <c r="B118" s="4"/>
      <c r="C118" s="4" t="s">
        <v>165</v>
      </c>
      <c r="D118" s="4" t="s">
        <v>426</v>
      </c>
      <c r="E118" s="12" t="s">
        <v>658</v>
      </c>
      <c r="F118" s="6" t="b">
        <f t="shared" si="16"/>
        <v>1</v>
      </c>
      <c r="G118" s="6">
        <f t="shared" si="17"/>
        <v>1</v>
      </c>
      <c r="H118" s="6" t="b">
        <f t="shared" si="18"/>
        <v>0</v>
      </c>
      <c r="I118" s="6">
        <f t="shared" si="19"/>
        <v>0</v>
      </c>
    </row>
    <row r="119" spans="2:10" ht="17.25" thickBot="1" x14ac:dyDescent="0.35">
      <c r="B119" s="4"/>
      <c r="C119" s="4"/>
      <c r="D119" s="4"/>
      <c r="E119" s="4" t="s">
        <v>659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660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4" t="s">
        <v>529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IF(hascolor(E117:E121,$L$5)=TRUE, 1, 0)</f>
        <v>0</v>
      </c>
    </row>
    <row r="122" spans="2:10" ht="17.25" thickBot="1" x14ac:dyDescent="0.35">
      <c r="B122" s="6" t="s">
        <v>29</v>
      </c>
      <c r="C122" s="6" t="s">
        <v>166</v>
      </c>
      <c r="D122" s="6" t="s">
        <v>319</v>
      </c>
      <c r="E122" s="13" t="s">
        <v>661</v>
      </c>
      <c r="F122" s="6" t="b">
        <f t="shared" si="16"/>
        <v>1</v>
      </c>
      <c r="G122" s="6">
        <f t="shared" si="17"/>
        <v>1</v>
      </c>
      <c r="H122" s="6" t="b">
        <f t="shared" si="18"/>
        <v>0</v>
      </c>
      <c r="I122" s="6">
        <f t="shared" si="19"/>
        <v>0</v>
      </c>
    </row>
    <row r="123" spans="2:10" ht="17.25" thickBot="1" x14ac:dyDescent="0.35">
      <c r="B123" s="4"/>
      <c r="C123" s="4" t="s">
        <v>167</v>
      </c>
      <c r="D123" s="4" t="s">
        <v>429</v>
      </c>
      <c r="E123" s="12" t="s">
        <v>662</v>
      </c>
      <c r="F123" s="6" t="b">
        <f t="shared" si="16"/>
        <v>1</v>
      </c>
      <c r="G123" s="6">
        <f t="shared" si="17"/>
        <v>1</v>
      </c>
      <c r="H123" s="6" t="b">
        <f t="shared" si="18"/>
        <v>0</v>
      </c>
      <c r="I123" s="6">
        <f t="shared" si="19"/>
        <v>0</v>
      </c>
    </row>
    <row r="124" spans="2:10" ht="17.25" thickBot="1" x14ac:dyDescent="0.35">
      <c r="B124" s="4"/>
      <c r="C124" s="4"/>
      <c r="D124" s="4"/>
      <c r="E124" s="4" t="s">
        <v>663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664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4" t="s">
        <v>566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IF(hascolor(E122:E126,$L$5)=TRUE, 1, 0)</f>
        <v>0</v>
      </c>
    </row>
    <row r="127" spans="2:10" ht="17.25" thickBot="1" x14ac:dyDescent="0.35">
      <c r="B127" s="6" t="s">
        <v>102</v>
      </c>
      <c r="C127" s="6" t="s">
        <v>168</v>
      </c>
      <c r="D127" s="6" t="s">
        <v>494</v>
      </c>
      <c r="E127" s="13" t="s">
        <v>665</v>
      </c>
      <c r="F127" s="6" t="b">
        <f t="shared" si="16"/>
        <v>1</v>
      </c>
      <c r="G127" s="6">
        <f t="shared" si="17"/>
        <v>1</v>
      </c>
      <c r="H127" s="6" t="b">
        <f t="shared" si="18"/>
        <v>0</v>
      </c>
      <c r="I127" s="6">
        <f t="shared" si="19"/>
        <v>0</v>
      </c>
    </row>
    <row r="128" spans="2:10" ht="17.25" thickBot="1" x14ac:dyDescent="0.35">
      <c r="B128" s="4"/>
      <c r="C128" s="4" t="s">
        <v>169</v>
      </c>
      <c r="D128" s="4" t="s">
        <v>430</v>
      </c>
      <c r="E128" s="12" t="s">
        <v>666</v>
      </c>
      <c r="F128" s="6" t="b">
        <f t="shared" si="16"/>
        <v>1</v>
      </c>
      <c r="G128" s="6">
        <f t="shared" si="17"/>
        <v>1</v>
      </c>
      <c r="H128" s="6" t="b">
        <f t="shared" si="18"/>
        <v>0</v>
      </c>
      <c r="I128" s="6">
        <f t="shared" si="19"/>
        <v>0</v>
      </c>
    </row>
    <row r="129" spans="2:10" ht="17.25" thickBot="1" x14ac:dyDescent="0.35">
      <c r="B129" s="4"/>
      <c r="C129" s="4"/>
      <c r="D129" s="4"/>
      <c r="E129" s="4" t="s">
        <v>667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668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4" t="s">
        <v>471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hascolor(E131,$L$5)</f>
        <v>0</v>
      </c>
      <c r="I131" s="6">
        <f t="shared" ref="I131:I194" si="35">IF(H131, 1, 0)</f>
        <v>0</v>
      </c>
      <c r="J131">
        <f t="shared" ref="J131" si="36">IF(hascolor(E127:E131,$L$5)=TRUE, 1, 0)</f>
        <v>0</v>
      </c>
    </row>
    <row r="132" spans="2:10" ht="17.25" thickBot="1" x14ac:dyDescent="0.35">
      <c r="B132" s="6" t="s">
        <v>30</v>
      </c>
      <c r="C132" s="6" t="s">
        <v>170</v>
      </c>
      <c r="D132" s="6" t="s">
        <v>495</v>
      </c>
      <c r="E132" s="13" t="s">
        <v>668</v>
      </c>
      <c r="F132" s="6" t="b">
        <f t="shared" si="32"/>
        <v>1</v>
      </c>
      <c r="G132" s="6">
        <f t="shared" si="33"/>
        <v>1</v>
      </c>
      <c r="H132" s="6" t="b">
        <f t="shared" si="34"/>
        <v>0</v>
      </c>
      <c r="I132" s="6">
        <f t="shared" si="35"/>
        <v>0</v>
      </c>
    </row>
    <row r="133" spans="2:10" ht="17.25" thickBot="1" x14ac:dyDescent="0.35">
      <c r="B133" s="4"/>
      <c r="C133" s="4" t="s">
        <v>171</v>
      </c>
      <c r="D133" s="4" t="s">
        <v>425</v>
      </c>
      <c r="E133" s="12" t="s">
        <v>667</v>
      </c>
      <c r="F133" s="6" t="b">
        <f t="shared" si="32"/>
        <v>1</v>
      </c>
      <c r="G133" s="6">
        <f t="shared" si="33"/>
        <v>1</v>
      </c>
      <c r="H133" s="6" t="b">
        <f t="shared" si="34"/>
        <v>0</v>
      </c>
      <c r="I133" s="6">
        <f t="shared" si="35"/>
        <v>0</v>
      </c>
    </row>
    <row r="134" spans="2:10" ht="17.25" thickBot="1" x14ac:dyDescent="0.35">
      <c r="B134" s="4"/>
      <c r="C134" s="4"/>
      <c r="D134" s="4"/>
      <c r="E134" s="4" t="s">
        <v>669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665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4" t="s">
        <v>530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IF(hascolor(E132:E136,$L$5)=TRUE, 1, 0)</f>
        <v>0</v>
      </c>
    </row>
    <row r="137" spans="2:10" ht="17.25" thickBot="1" x14ac:dyDescent="0.35">
      <c r="B137" s="6" t="s">
        <v>103</v>
      </c>
      <c r="C137" s="6" t="s">
        <v>172</v>
      </c>
      <c r="D137" s="6" t="s">
        <v>320</v>
      </c>
      <c r="E137" s="13" t="s">
        <v>670</v>
      </c>
      <c r="F137" s="6" t="b">
        <f t="shared" si="32"/>
        <v>1</v>
      </c>
      <c r="G137" s="6">
        <f t="shared" si="33"/>
        <v>1</v>
      </c>
      <c r="H137" s="6" t="b">
        <f t="shared" si="34"/>
        <v>0</v>
      </c>
      <c r="I137" s="6">
        <f t="shared" si="35"/>
        <v>0</v>
      </c>
    </row>
    <row r="138" spans="2:10" ht="17.25" thickBot="1" x14ac:dyDescent="0.35">
      <c r="B138" s="4"/>
      <c r="C138" s="4" t="s">
        <v>173</v>
      </c>
      <c r="D138" s="4" t="s">
        <v>421</v>
      </c>
      <c r="E138" s="4" t="s">
        <v>655</v>
      </c>
      <c r="F138" s="6" t="b">
        <f t="shared" si="32"/>
        <v>1</v>
      </c>
      <c r="G138" s="6">
        <f t="shared" si="33"/>
        <v>1</v>
      </c>
      <c r="H138" s="6" t="b">
        <f t="shared" si="34"/>
        <v>0</v>
      </c>
      <c r="I138" s="6">
        <f t="shared" si="35"/>
        <v>0</v>
      </c>
    </row>
    <row r="139" spans="2:10" ht="17.25" thickBot="1" x14ac:dyDescent="0.35">
      <c r="B139" s="4"/>
      <c r="C139" s="4"/>
      <c r="D139" s="4"/>
      <c r="E139" s="4" t="s">
        <v>671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12" t="s">
        <v>672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4" t="s">
        <v>470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IF(hascolor(E137:E141,$L$5)=TRUE, 1, 0)</f>
        <v>0</v>
      </c>
    </row>
    <row r="142" spans="2:10" ht="17.25" thickBot="1" x14ac:dyDescent="0.35">
      <c r="B142" s="6" t="s">
        <v>104</v>
      </c>
      <c r="C142" s="6" t="s">
        <v>174</v>
      </c>
      <c r="D142" s="6" t="s">
        <v>321</v>
      </c>
      <c r="E142" s="13" t="s">
        <v>673</v>
      </c>
      <c r="F142" s="6" t="b">
        <f t="shared" si="32"/>
        <v>1</v>
      </c>
      <c r="G142" s="6">
        <f t="shared" si="33"/>
        <v>1</v>
      </c>
      <c r="H142" s="6" t="b">
        <f t="shared" si="34"/>
        <v>0</v>
      </c>
      <c r="I142" s="6">
        <f t="shared" si="35"/>
        <v>0</v>
      </c>
    </row>
    <row r="143" spans="2:10" ht="17.25" thickBot="1" x14ac:dyDescent="0.35">
      <c r="B143" s="4"/>
      <c r="C143" s="4" t="s">
        <v>175</v>
      </c>
      <c r="D143" s="4" t="s">
        <v>422</v>
      </c>
      <c r="E143" s="12" t="s">
        <v>674</v>
      </c>
      <c r="F143" s="6" t="b">
        <f t="shared" si="32"/>
        <v>1</v>
      </c>
      <c r="G143" s="6">
        <f t="shared" si="33"/>
        <v>1</v>
      </c>
      <c r="H143" s="6" t="b">
        <f t="shared" si="34"/>
        <v>0</v>
      </c>
      <c r="I143" s="6">
        <f t="shared" si="35"/>
        <v>0</v>
      </c>
    </row>
    <row r="144" spans="2:10" ht="17.25" thickBot="1" x14ac:dyDescent="0.35">
      <c r="B144" s="4"/>
      <c r="C144" s="4" t="s">
        <v>176</v>
      </c>
      <c r="D144" s="4"/>
      <c r="E144" s="4" t="s">
        <v>675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3" ht="17.25" thickBot="1" x14ac:dyDescent="0.35">
      <c r="B145" s="4"/>
      <c r="C145" s="4" t="s">
        <v>177</v>
      </c>
      <c r="E145" s="4" t="s">
        <v>671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3" ht="17.25" thickBot="1" x14ac:dyDescent="0.35">
      <c r="B146" s="5"/>
      <c r="C146" s="5"/>
      <c r="D146" s="5"/>
      <c r="E146" s="4" t="s">
        <v>531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IF(hascolor(E142:E146,$L$5)=TRUE, 1, 0)</f>
        <v>0</v>
      </c>
    </row>
    <row r="147" spans="1:13" ht="17.25" thickBot="1" x14ac:dyDescent="0.35">
      <c r="B147" s="6" t="s">
        <v>31</v>
      </c>
      <c r="C147" s="6" t="s">
        <v>178</v>
      </c>
      <c r="D147" s="6" t="s">
        <v>322</v>
      </c>
      <c r="E147" s="13" t="s">
        <v>676</v>
      </c>
      <c r="F147" s="6" t="b">
        <f t="shared" si="32"/>
        <v>1</v>
      </c>
      <c r="G147" s="6">
        <f t="shared" si="33"/>
        <v>1</v>
      </c>
      <c r="H147" s="6" t="b">
        <f t="shared" si="34"/>
        <v>0</v>
      </c>
      <c r="I147" s="6">
        <f t="shared" si="35"/>
        <v>0</v>
      </c>
    </row>
    <row r="148" spans="1:13" ht="17.25" thickBot="1" x14ac:dyDescent="0.35">
      <c r="B148" s="4"/>
      <c r="C148" s="4" t="s">
        <v>179</v>
      </c>
      <c r="D148" s="4" t="s">
        <v>423</v>
      </c>
      <c r="E148" s="12" t="s">
        <v>677</v>
      </c>
      <c r="F148" s="6" t="b">
        <f t="shared" si="32"/>
        <v>1</v>
      </c>
      <c r="G148" s="6">
        <f t="shared" si="33"/>
        <v>1</v>
      </c>
      <c r="H148" s="6" t="b">
        <f t="shared" si="34"/>
        <v>0</v>
      </c>
      <c r="I148" s="6">
        <f t="shared" si="35"/>
        <v>0</v>
      </c>
    </row>
    <row r="149" spans="1:13" ht="17.25" thickBot="1" x14ac:dyDescent="0.35">
      <c r="B149" s="4"/>
      <c r="C149" s="4"/>
      <c r="D149" s="4"/>
      <c r="E149" s="4" t="s">
        <v>678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3" ht="17.25" thickBot="1" x14ac:dyDescent="0.35">
      <c r="B150" s="4"/>
      <c r="C150" s="4"/>
      <c r="D150" s="4"/>
      <c r="E150" s="4" t="s">
        <v>679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3" ht="17.25" thickBot="1" x14ac:dyDescent="0.35">
      <c r="B151" s="5"/>
      <c r="C151" s="5"/>
      <c r="D151" s="5"/>
      <c r="E151" s="4" t="s">
        <v>504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IF(hascolor(E147:E151,$L$5)=TRUE, 1, 0)</f>
        <v>0</v>
      </c>
      <c r="K151">
        <f>SUM(J102:J151)</f>
        <v>0</v>
      </c>
      <c r="M151">
        <f>SUM(I102:I151)</f>
        <v>0</v>
      </c>
    </row>
    <row r="152" spans="1:13" ht="17.25" thickBot="1" x14ac:dyDescent="0.35">
      <c r="A152" s="2" t="s">
        <v>110</v>
      </c>
      <c r="B152" s="6" t="s">
        <v>32</v>
      </c>
      <c r="C152" s="6" t="s">
        <v>180</v>
      </c>
      <c r="D152" s="6" t="s">
        <v>323</v>
      </c>
      <c r="E152" s="13" t="s">
        <v>680</v>
      </c>
      <c r="F152" s="6" t="b">
        <f t="shared" si="32"/>
        <v>1</v>
      </c>
      <c r="G152" s="6">
        <f t="shared" si="33"/>
        <v>1</v>
      </c>
      <c r="H152" s="6" t="b">
        <f t="shared" si="34"/>
        <v>0</v>
      </c>
      <c r="I152" s="6">
        <f t="shared" si="35"/>
        <v>0</v>
      </c>
    </row>
    <row r="153" spans="1:13" ht="17.25" thickBot="1" x14ac:dyDescent="0.35">
      <c r="B153" s="4"/>
      <c r="C153" s="4" t="s">
        <v>181</v>
      </c>
      <c r="D153" s="4" t="s">
        <v>420</v>
      </c>
      <c r="E153" s="12" t="s">
        <v>681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3" ht="17.25" thickBot="1" x14ac:dyDescent="0.35">
      <c r="B154" s="4"/>
      <c r="C154" s="4"/>
      <c r="D154" s="4"/>
      <c r="E154" s="4" t="s">
        <v>682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3" ht="17.25" thickBot="1" x14ac:dyDescent="0.35">
      <c r="B155" s="4"/>
      <c r="C155" s="4"/>
      <c r="D155" s="4"/>
      <c r="E155" s="4" t="s">
        <v>683</v>
      </c>
      <c r="F155" s="6" t="b">
        <f t="shared" si="32"/>
        <v>0</v>
      </c>
      <c r="G155" s="6">
        <f t="shared" si="33"/>
        <v>0</v>
      </c>
      <c r="H155" s="6" t="b">
        <f t="shared" si="34"/>
        <v>0</v>
      </c>
      <c r="I155" s="6">
        <f t="shared" si="35"/>
        <v>0</v>
      </c>
    </row>
    <row r="156" spans="1:13" ht="17.25" thickBot="1" x14ac:dyDescent="0.35">
      <c r="B156" s="5"/>
      <c r="C156" s="5"/>
      <c r="D156" s="5"/>
      <c r="E156" s="4" t="s">
        <v>567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IF(hascolor(E152:E156,$L$5)=TRUE, 1, 0)</f>
        <v>0</v>
      </c>
    </row>
    <row r="157" spans="1:13" ht="17.25" thickBot="1" x14ac:dyDescent="0.35">
      <c r="B157" s="6" t="s">
        <v>33</v>
      </c>
      <c r="C157" s="6" t="s">
        <v>182</v>
      </c>
      <c r="D157" s="6" t="s">
        <v>324</v>
      </c>
      <c r="E157" s="13" t="s">
        <v>683</v>
      </c>
      <c r="F157" s="6" t="b">
        <f t="shared" si="32"/>
        <v>1</v>
      </c>
      <c r="G157" s="6">
        <f t="shared" si="33"/>
        <v>1</v>
      </c>
      <c r="H157" s="6" t="b">
        <f t="shared" si="34"/>
        <v>0</v>
      </c>
      <c r="I157" s="6">
        <f t="shared" si="35"/>
        <v>0</v>
      </c>
    </row>
    <row r="158" spans="1:13" ht="17.25" thickBot="1" x14ac:dyDescent="0.35">
      <c r="B158" s="4"/>
      <c r="C158" s="4" t="s">
        <v>183</v>
      </c>
      <c r="D158" s="4" t="s">
        <v>419</v>
      </c>
      <c r="E158" s="4" t="s">
        <v>684</v>
      </c>
      <c r="F158" s="6" t="b">
        <f t="shared" si="32"/>
        <v>1</v>
      </c>
      <c r="G158" s="6">
        <f t="shared" si="33"/>
        <v>1</v>
      </c>
      <c r="H158" s="6" t="b">
        <f t="shared" si="34"/>
        <v>0</v>
      </c>
      <c r="I158" s="6">
        <f t="shared" si="35"/>
        <v>0</v>
      </c>
    </row>
    <row r="159" spans="1:13" ht="17.25" thickBot="1" x14ac:dyDescent="0.35">
      <c r="B159" s="4"/>
      <c r="C159" s="4"/>
      <c r="D159" s="4"/>
      <c r="E159" s="4" t="s">
        <v>685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3" ht="17.25" thickBot="1" x14ac:dyDescent="0.35">
      <c r="B160" s="4"/>
      <c r="C160" s="4"/>
      <c r="D160" s="4"/>
      <c r="E160" s="12" t="s">
        <v>682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4" t="s">
        <v>568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IF(hascolor(E157:E161,$L$5)=TRUE, 1, 0)</f>
        <v>0</v>
      </c>
    </row>
    <row r="162" spans="2:10" ht="17.25" thickBot="1" x14ac:dyDescent="0.35">
      <c r="B162" s="6" t="s">
        <v>34</v>
      </c>
      <c r="C162" s="6" t="s">
        <v>184</v>
      </c>
      <c r="D162" s="6" t="s">
        <v>325</v>
      </c>
      <c r="E162" s="13" t="s">
        <v>686</v>
      </c>
      <c r="F162" s="6" t="b">
        <f t="shared" si="32"/>
        <v>1</v>
      </c>
      <c r="G162" s="6">
        <f t="shared" si="33"/>
        <v>1</v>
      </c>
      <c r="H162" s="6" t="b">
        <f t="shared" si="34"/>
        <v>0</v>
      </c>
      <c r="I162" s="6">
        <f t="shared" si="35"/>
        <v>0</v>
      </c>
    </row>
    <row r="163" spans="2:10" ht="17.25" thickBot="1" x14ac:dyDescent="0.35">
      <c r="B163" s="4"/>
      <c r="C163" s="4" t="s">
        <v>185</v>
      </c>
      <c r="D163" s="4" t="s">
        <v>418</v>
      </c>
      <c r="E163" s="4" t="s">
        <v>687</v>
      </c>
      <c r="F163" s="6" t="b">
        <f t="shared" si="32"/>
        <v>1</v>
      </c>
      <c r="G163" s="6">
        <f t="shared" si="33"/>
        <v>1</v>
      </c>
      <c r="H163" s="6" t="b">
        <f t="shared" si="34"/>
        <v>0</v>
      </c>
      <c r="I163" s="6">
        <f t="shared" si="35"/>
        <v>0</v>
      </c>
    </row>
    <row r="164" spans="2:10" ht="17.25" thickBot="1" x14ac:dyDescent="0.35">
      <c r="B164" s="4"/>
      <c r="C164" s="4"/>
      <c r="D164" s="4"/>
      <c r="E164" s="12" t="s">
        <v>688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684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4" t="s">
        <v>532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IF(hascolor(E162:E166,$L$5)=TRUE, 1, 0)</f>
        <v>0</v>
      </c>
    </row>
    <row r="167" spans="2:10" ht="17.25" thickBot="1" x14ac:dyDescent="0.35">
      <c r="B167" s="6" t="s">
        <v>35</v>
      </c>
      <c r="C167" s="6" t="s">
        <v>186</v>
      </c>
      <c r="D167" s="6" t="s">
        <v>326</v>
      </c>
      <c r="E167" s="13" t="s">
        <v>689</v>
      </c>
      <c r="F167" s="6" t="b">
        <f t="shared" si="32"/>
        <v>1</v>
      </c>
      <c r="G167" s="6">
        <f t="shared" si="33"/>
        <v>1</v>
      </c>
      <c r="H167" s="6" t="b">
        <f t="shared" si="34"/>
        <v>0</v>
      </c>
      <c r="I167" s="6">
        <f t="shared" si="35"/>
        <v>0</v>
      </c>
    </row>
    <row r="168" spans="2:10" ht="17.25" thickBot="1" x14ac:dyDescent="0.35">
      <c r="B168" s="4"/>
      <c r="C168" s="4" t="s">
        <v>187</v>
      </c>
      <c r="D168" s="4" t="s">
        <v>417</v>
      </c>
      <c r="E168" s="4" t="s">
        <v>690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s="12" t="s">
        <v>691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4" t="s">
        <v>692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4" t="s">
        <v>505</v>
      </c>
      <c r="F171" s="6" t="b">
        <f t="shared" si="32"/>
        <v>0</v>
      </c>
      <c r="G171" s="6">
        <f t="shared" si="33"/>
        <v>0</v>
      </c>
      <c r="H171" s="6" t="b">
        <f t="shared" si="34"/>
        <v>0</v>
      </c>
      <c r="I171" s="6">
        <f t="shared" si="35"/>
        <v>0</v>
      </c>
      <c r="J171">
        <f t="shared" ref="J171" si="44">IF(hascolor(E167:E171,$L$5)=TRUE, 1, 0)</f>
        <v>0</v>
      </c>
    </row>
    <row r="172" spans="2:10" ht="17.25" thickBot="1" x14ac:dyDescent="0.35">
      <c r="B172" s="6" t="s">
        <v>36</v>
      </c>
      <c r="C172" s="6" t="s">
        <v>188</v>
      </c>
      <c r="D172" s="6" t="s">
        <v>327</v>
      </c>
      <c r="E172" s="13" t="s">
        <v>693</v>
      </c>
      <c r="F172" s="6" t="b">
        <f t="shared" si="32"/>
        <v>1</v>
      </c>
      <c r="G172" s="6">
        <f t="shared" si="33"/>
        <v>1</v>
      </c>
      <c r="H172" s="6" t="b">
        <f t="shared" si="34"/>
        <v>0</v>
      </c>
      <c r="I172" s="6">
        <f t="shared" si="35"/>
        <v>0</v>
      </c>
    </row>
    <row r="173" spans="2:10" ht="17.25" thickBot="1" x14ac:dyDescent="0.35">
      <c r="B173" s="4"/>
      <c r="C173" s="4" t="s">
        <v>189</v>
      </c>
      <c r="D173" s="4" t="s">
        <v>416</v>
      </c>
      <c r="E173" s="4" t="s">
        <v>694</v>
      </c>
      <c r="F173" s="6" t="b">
        <f t="shared" si="32"/>
        <v>1</v>
      </c>
      <c r="G173" s="6">
        <f t="shared" si="33"/>
        <v>1</v>
      </c>
      <c r="H173" s="6" t="b">
        <f t="shared" si="34"/>
        <v>0</v>
      </c>
      <c r="I173" s="6">
        <f t="shared" si="35"/>
        <v>0</v>
      </c>
    </row>
    <row r="174" spans="2:10" ht="17.25" thickBot="1" x14ac:dyDescent="0.35">
      <c r="B174" s="4"/>
      <c r="C174" s="4"/>
      <c r="D174" s="4"/>
      <c r="E174" s="4" t="s">
        <v>695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696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12" t="s">
        <v>533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IF(hascolor(E172:E176,$L$5)=TRUE, 1, 0)</f>
        <v>0</v>
      </c>
    </row>
    <row r="177" spans="2:10" ht="17.25" thickBot="1" x14ac:dyDescent="0.35">
      <c r="B177" s="6" t="s">
        <v>37</v>
      </c>
      <c r="C177" s="6" t="s">
        <v>190</v>
      </c>
      <c r="D177" s="6" t="s">
        <v>328</v>
      </c>
      <c r="E177" s="13" t="s">
        <v>696</v>
      </c>
      <c r="F177" s="6" t="b">
        <f t="shared" si="32"/>
        <v>1</v>
      </c>
      <c r="G177" s="6">
        <f t="shared" si="33"/>
        <v>1</v>
      </c>
      <c r="H177" s="6" t="b">
        <f t="shared" si="34"/>
        <v>0</v>
      </c>
      <c r="I177" s="6">
        <f t="shared" si="35"/>
        <v>0</v>
      </c>
    </row>
    <row r="178" spans="2:10" ht="17.25" thickBot="1" x14ac:dyDescent="0.35">
      <c r="B178" s="4"/>
      <c r="C178" s="4" t="s">
        <v>191</v>
      </c>
      <c r="D178" s="4" t="s">
        <v>415</v>
      </c>
      <c r="E178" s="12" t="s">
        <v>697</v>
      </c>
      <c r="F178" s="6" t="b">
        <f t="shared" si="32"/>
        <v>1</v>
      </c>
      <c r="G178" s="6">
        <f t="shared" si="33"/>
        <v>1</v>
      </c>
      <c r="H178" s="6" t="b">
        <f t="shared" si="34"/>
        <v>0</v>
      </c>
      <c r="I178" s="6">
        <f t="shared" si="35"/>
        <v>0</v>
      </c>
    </row>
    <row r="179" spans="2:10" ht="17.25" thickBot="1" x14ac:dyDescent="0.35">
      <c r="B179" s="4"/>
      <c r="C179" s="4"/>
      <c r="D179" s="4"/>
      <c r="E179" s="4" t="s">
        <v>698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699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4" t="s">
        <v>533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IF(hascolor(E177:E181,$L$5)=TRUE, 1, 0)</f>
        <v>0</v>
      </c>
    </row>
    <row r="182" spans="2:10" ht="17.25" thickBot="1" x14ac:dyDescent="0.35">
      <c r="B182" s="6" t="s">
        <v>38</v>
      </c>
      <c r="C182" s="6" t="s">
        <v>192</v>
      </c>
      <c r="D182" s="6" t="s">
        <v>329</v>
      </c>
      <c r="E182" s="13" t="s">
        <v>684</v>
      </c>
      <c r="F182" s="6" t="b">
        <f t="shared" si="32"/>
        <v>1</v>
      </c>
      <c r="G182" s="6">
        <f t="shared" si="33"/>
        <v>1</v>
      </c>
      <c r="H182" s="6" t="b">
        <f t="shared" si="34"/>
        <v>0</v>
      </c>
      <c r="I182" s="6">
        <f t="shared" si="35"/>
        <v>0</v>
      </c>
    </row>
    <row r="183" spans="2:10" ht="17.25" thickBot="1" x14ac:dyDescent="0.35">
      <c r="B183" s="4"/>
      <c r="C183" s="4" t="s">
        <v>496</v>
      </c>
      <c r="D183" s="4" t="s">
        <v>414</v>
      </c>
      <c r="E183" s="12" t="s">
        <v>700</v>
      </c>
      <c r="F183" s="6" t="b">
        <f t="shared" si="32"/>
        <v>1</v>
      </c>
      <c r="G183" s="6">
        <f t="shared" si="33"/>
        <v>1</v>
      </c>
      <c r="H183" s="6" t="b">
        <f t="shared" si="34"/>
        <v>0</v>
      </c>
      <c r="I183" s="6">
        <f t="shared" si="35"/>
        <v>0</v>
      </c>
    </row>
    <row r="184" spans="2:10" ht="17.25" thickBot="1" x14ac:dyDescent="0.35">
      <c r="B184" s="4"/>
      <c r="C184" s="4"/>
      <c r="D184" s="4"/>
      <c r="E184" s="4" t="s">
        <v>683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701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4" t="s">
        <v>534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IF(hascolor(E182:E186,$L$5)=TRUE, 1, 0)</f>
        <v>0</v>
      </c>
    </row>
    <row r="187" spans="2:10" ht="17.25" thickBot="1" x14ac:dyDescent="0.35">
      <c r="B187" s="6" t="s">
        <v>105</v>
      </c>
      <c r="C187" s="6" t="s">
        <v>193</v>
      </c>
      <c r="D187" s="6" t="s">
        <v>330</v>
      </c>
      <c r="E187" s="13" t="s">
        <v>702</v>
      </c>
      <c r="F187" s="6" t="b">
        <f t="shared" si="32"/>
        <v>1</v>
      </c>
      <c r="G187" s="6">
        <f t="shared" si="33"/>
        <v>1</v>
      </c>
      <c r="H187" s="6" t="b">
        <f t="shared" si="34"/>
        <v>0</v>
      </c>
      <c r="I187" s="6">
        <f t="shared" si="35"/>
        <v>0</v>
      </c>
    </row>
    <row r="188" spans="2:10" ht="17.25" thickBot="1" x14ac:dyDescent="0.35">
      <c r="B188" s="4"/>
      <c r="C188" s="4" t="s">
        <v>194</v>
      </c>
      <c r="D188" s="4" t="s">
        <v>413</v>
      </c>
      <c r="E188" s="4" t="s">
        <v>703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s="4" t="s">
        <v>704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701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4" t="s">
        <v>535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IF(hascolor(E187:E191,$L$5)=TRUE, 1, 0)</f>
        <v>0</v>
      </c>
    </row>
    <row r="192" spans="2:10" ht="17.25" thickBot="1" x14ac:dyDescent="0.35">
      <c r="B192" s="6" t="s">
        <v>39</v>
      </c>
      <c r="C192" s="6" t="s">
        <v>195</v>
      </c>
      <c r="D192" s="6" t="s">
        <v>331</v>
      </c>
      <c r="E192" s="13" t="s">
        <v>705</v>
      </c>
      <c r="F192" s="6" t="b">
        <f t="shared" si="32"/>
        <v>1</v>
      </c>
      <c r="G192" s="6">
        <f t="shared" si="33"/>
        <v>1</v>
      </c>
      <c r="H192" s="6" t="b">
        <f t="shared" si="34"/>
        <v>0</v>
      </c>
      <c r="I192" s="6">
        <f t="shared" si="35"/>
        <v>0</v>
      </c>
    </row>
    <row r="193" spans="1:13" ht="17.25" thickBot="1" x14ac:dyDescent="0.35">
      <c r="B193" s="4"/>
      <c r="C193" s="4" t="s">
        <v>196</v>
      </c>
      <c r="D193" s="4" t="s">
        <v>497</v>
      </c>
      <c r="E193" s="12" t="s">
        <v>706</v>
      </c>
      <c r="F193" s="6" t="b">
        <f t="shared" si="32"/>
        <v>1</v>
      </c>
      <c r="G193" s="6">
        <f t="shared" si="33"/>
        <v>1</v>
      </c>
      <c r="H193" s="6" t="b">
        <f t="shared" si="34"/>
        <v>0</v>
      </c>
      <c r="I193" s="6">
        <f t="shared" si="35"/>
        <v>0</v>
      </c>
    </row>
    <row r="194" spans="1:13" ht="17.25" thickBot="1" x14ac:dyDescent="0.35">
      <c r="B194" s="4"/>
      <c r="C194" s="4" t="s">
        <v>197</v>
      </c>
      <c r="E194" s="4" t="s">
        <v>707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3" ht="17.25" thickBot="1" x14ac:dyDescent="0.35">
      <c r="B195" s="4"/>
      <c r="C195" s="4"/>
      <c r="D195" s="4"/>
      <c r="E195" s="4" t="s">
        <v>708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hascolor(E195,$L$5)</f>
        <v>0</v>
      </c>
      <c r="I195" s="6">
        <f t="shared" ref="I195:I258" si="52">IF(H195, 1, 0)</f>
        <v>0</v>
      </c>
    </row>
    <row r="196" spans="1:13" ht="17.25" thickBot="1" x14ac:dyDescent="0.35">
      <c r="B196" s="5"/>
      <c r="C196" s="5"/>
      <c r="D196" s="5"/>
      <c r="E196" s="4" t="s">
        <v>506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IF(hascolor(E192:E196,$L$5)=TRUE, 1, 0)</f>
        <v>0</v>
      </c>
    </row>
    <row r="197" spans="1:13" ht="17.25" thickBot="1" x14ac:dyDescent="0.35">
      <c r="B197" s="6" t="s">
        <v>40</v>
      </c>
      <c r="C197" s="6" t="s">
        <v>180</v>
      </c>
      <c r="D197" s="6" t="s">
        <v>323</v>
      </c>
      <c r="E197" s="6" t="s">
        <v>709</v>
      </c>
      <c r="F197" s="6" t="b">
        <f t="shared" si="49"/>
        <v>1</v>
      </c>
      <c r="G197" s="6">
        <f t="shared" si="50"/>
        <v>1</v>
      </c>
      <c r="H197" s="6" t="b">
        <f t="shared" si="51"/>
        <v>0</v>
      </c>
      <c r="I197" s="6">
        <f t="shared" si="52"/>
        <v>0</v>
      </c>
    </row>
    <row r="198" spans="1:13" ht="17.25" thickBot="1" x14ac:dyDescent="0.35">
      <c r="B198" s="4"/>
      <c r="C198" s="4" t="s">
        <v>198</v>
      </c>
      <c r="D198" s="4" t="s">
        <v>498</v>
      </c>
      <c r="E198" s="12" t="s">
        <v>710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3" ht="17.25" thickBot="1" x14ac:dyDescent="0.35">
      <c r="B199" s="4"/>
      <c r="C199" s="4" t="s">
        <v>199</v>
      </c>
      <c r="D199" s="4"/>
      <c r="E199" s="4" t="s">
        <v>711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3" ht="17.25" thickBot="1" x14ac:dyDescent="0.35">
      <c r="B200" s="4"/>
      <c r="C200" s="4" t="s">
        <v>200</v>
      </c>
      <c r="E200" s="4" t="s">
        <v>712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3" ht="17.25" thickBot="1" x14ac:dyDescent="0.35">
      <c r="B201" s="5"/>
      <c r="C201" s="5"/>
      <c r="D201" s="5"/>
      <c r="E201" s="4" t="s">
        <v>569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IF(hascolor(E197:E201,$L$5)=TRUE, 1, 0)</f>
        <v>0</v>
      </c>
      <c r="K201">
        <f>SUM(J152:J201)</f>
        <v>0</v>
      </c>
      <c r="M201">
        <f>SUM(I152:I201)</f>
        <v>0</v>
      </c>
    </row>
    <row r="202" spans="1:13" ht="17.25" thickBot="1" x14ac:dyDescent="0.35">
      <c r="A202" s="2" t="s">
        <v>111</v>
      </c>
      <c r="B202" s="6" t="s">
        <v>41</v>
      </c>
      <c r="C202" s="6" t="s">
        <v>201</v>
      </c>
      <c r="D202" s="6" t="s">
        <v>201</v>
      </c>
      <c r="E202" s="13" t="s">
        <v>713</v>
      </c>
      <c r="F202" s="6" t="b">
        <f t="shared" si="49"/>
        <v>1</v>
      </c>
      <c r="G202" s="6">
        <f t="shared" si="50"/>
        <v>1</v>
      </c>
      <c r="H202" s="6" t="b">
        <f t="shared" si="51"/>
        <v>0</v>
      </c>
      <c r="I202" s="6">
        <f t="shared" si="52"/>
        <v>0</v>
      </c>
    </row>
    <row r="203" spans="1:13" ht="17.25" thickBot="1" x14ac:dyDescent="0.35">
      <c r="B203" s="4"/>
      <c r="C203" s="4"/>
      <c r="D203" s="4"/>
      <c r="E203" s="4" t="s">
        <v>714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3" ht="17.25" thickBot="1" x14ac:dyDescent="0.35">
      <c r="B204" s="4"/>
      <c r="C204" s="4"/>
      <c r="D204" s="4"/>
      <c r="E204" s="4" t="s">
        <v>715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3" ht="17.25" thickBot="1" x14ac:dyDescent="0.35">
      <c r="B205" s="4"/>
      <c r="C205" s="4"/>
      <c r="D205" s="4"/>
      <c r="E205" s="4" t="s">
        <v>716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3" ht="17.25" thickBot="1" x14ac:dyDescent="0.35">
      <c r="B206" s="5"/>
      <c r="C206" s="5"/>
      <c r="D206" s="5"/>
      <c r="E206" s="4" t="s">
        <v>536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IF(hascolor(E202:E206,$L$5)=TRUE, 1, 0)</f>
        <v>0</v>
      </c>
    </row>
    <row r="207" spans="1:13" ht="17.25" thickBot="1" x14ac:dyDescent="0.35">
      <c r="B207" s="6" t="s">
        <v>42</v>
      </c>
      <c r="C207" s="6" t="s">
        <v>202</v>
      </c>
      <c r="D207" s="6" t="s">
        <v>332</v>
      </c>
      <c r="E207" s="13" t="s">
        <v>717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3" ht="17.25" thickBot="1" x14ac:dyDescent="0.35">
      <c r="B208" s="4"/>
      <c r="C208" s="4"/>
      <c r="D208" s="4"/>
      <c r="E208" s="4" t="s">
        <v>718</v>
      </c>
      <c r="F208" s="6" t="b">
        <f t="shared" si="49"/>
        <v>0</v>
      </c>
      <c r="G208" s="6">
        <f t="shared" si="50"/>
        <v>0</v>
      </c>
      <c r="H208" s="6" t="b">
        <f t="shared" si="51"/>
        <v>0</v>
      </c>
      <c r="I208" s="6">
        <f t="shared" si="52"/>
        <v>0</v>
      </c>
    </row>
    <row r="209" spans="2:10" ht="17.25" thickBot="1" x14ac:dyDescent="0.35">
      <c r="B209" s="4"/>
      <c r="C209" s="4"/>
      <c r="D209" s="4"/>
      <c r="E209" s="4" t="s">
        <v>719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720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4" t="s">
        <v>537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IF(hascolor(E207:E211,$L$5)=TRUE, 1, 0)</f>
        <v>0</v>
      </c>
    </row>
    <row r="212" spans="2:10" ht="17.25" thickBot="1" x14ac:dyDescent="0.35">
      <c r="B212" s="6" t="s">
        <v>43</v>
      </c>
      <c r="C212" s="6" t="s">
        <v>203</v>
      </c>
      <c r="D212" s="6" t="s">
        <v>333</v>
      </c>
      <c r="E212" s="13" t="s">
        <v>721</v>
      </c>
      <c r="F212" s="6" t="b">
        <f t="shared" si="49"/>
        <v>1</v>
      </c>
      <c r="G212" s="6">
        <f t="shared" si="50"/>
        <v>1</v>
      </c>
      <c r="H212" s="6" t="b">
        <f t="shared" si="51"/>
        <v>0</v>
      </c>
      <c r="I212" s="6">
        <f t="shared" si="52"/>
        <v>0</v>
      </c>
    </row>
    <row r="213" spans="2:10" ht="17.25" thickBot="1" x14ac:dyDescent="0.35">
      <c r="B213" s="4"/>
      <c r="C213" s="4"/>
      <c r="D213" s="4"/>
      <c r="E213" s="4" t="s">
        <v>722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s="4" t="s">
        <v>723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724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4" t="s">
        <v>538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IF(hascolor(E212:E216,$L$5)=TRUE, 1, 0)</f>
        <v>0</v>
      </c>
    </row>
    <row r="217" spans="2:10" ht="17.25" thickBot="1" x14ac:dyDescent="0.35">
      <c r="B217" s="6" t="s">
        <v>44</v>
      </c>
      <c r="C217" s="6" t="s">
        <v>204</v>
      </c>
      <c r="D217" s="6" t="s">
        <v>334</v>
      </c>
      <c r="E217" s="13" t="s">
        <v>715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205</v>
      </c>
      <c r="D218" s="4" t="s">
        <v>335</v>
      </c>
      <c r="E218" s="4" t="s">
        <v>725</v>
      </c>
      <c r="F218" s="6" t="b">
        <f t="shared" si="49"/>
        <v>1</v>
      </c>
      <c r="G218" s="6">
        <f t="shared" si="50"/>
        <v>1</v>
      </c>
      <c r="H218" s="6" t="b">
        <f t="shared" si="51"/>
        <v>0</v>
      </c>
      <c r="I218" s="6">
        <f t="shared" si="52"/>
        <v>0</v>
      </c>
    </row>
    <row r="219" spans="2:10" ht="17.25" thickBot="1" x14ac:dyDescent="0.35">
      <c r="B219" s="4"/>
      <c r="C219" s="4"/>
      <c r="D219" s="4"/>
      <c r="E219" s="4" t="s">
        <v>726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727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4" t="s">
        <v>570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IF(hascolor(E217:E221,$L$5)=TRUE, 1, 0)</f>
        <v>0</v>
      </c>
    </row>
    <row r="222" spans="2:10" ht="17.25" thickBot="1" x14ac:dyDescent="0.35">
      <c r="B222" s="6" t="s">
        <v>45</v>
      </c>
      <c r="C222" s="6" t="s">
        <v>206</v>
      </c>
      <c r="D222" s="6" t="s">
        <v>336</v>
      </c>
      <c r="E222" s="13" t="s">
        <v>728</v>
      </c>
      <c r="F222" s="6" t="b">
        <f t="shared" si="49"/>
        <v>1</v>
      </c>
      <c r="G222" s="6">
        <f t="shared" si="50"/>
        <v>1</v>
      </c>
      <c r="H222" s="6" t="b">
        <f t="shared" si="51"/>
        <v>0</v>
      </c>
      <c r="I222" s="6">
        <f t="shared" si="52"/>
        <v>0</v>
      </c>
    </row>
    <row r="223" spans="2:10" ht="17.25" thickBot="1" x14ac:dyDescent="0.35">
      <c r="B223" s="4"/>
      <c r="C223" s="4"/>
      <c r="D223" s="4"/>
      <c r="E223" s="4" t="s">
        <v>729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s="4" t="s">
        <v>730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731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4" t="s">
        <v>515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IF(hascolor(E222:E226,$L$5)=TRUE, 1, 0)</f>
        <v>0</v>
      </c>
    </row>
    <row r="227" spans="2:10" ht="17.25" thickBot="1" x14ac:dyDescent="0.35">
      <c r="B227" s="6" t="s">
        <v>46</v>
      </c>
      <c r="C227" s="6" t="s">
        <v>207</v>
      </c>
      <c r="D227" s="6" t="s">
        <v>337</v>
      </c>
      <c r="E227" s="13" t="s">
        <v>732</v>
      </c>
      <c r="F227" s="6" t="b">
        <f t="shared" si="49"/>
        <v>1</v>
      </c>
      <c r="G227" s="6">
        <f t="shared" si="50"/>
        <v>1</v>
      </c>
      <c r="H227" s="6" t="b">
        <f t="shared" si="51"/>
        <v>0</v>
      </c>
      <c r="I227" s="6">
        <f t="shared" si="52"/>
        <v>0</v>
      </c>
    </row>
    <row r="228" spans="2:10" ht="17.25" thickBot="1" x14ac:dyDescent="0.35">
      <c r="B228" s="4"/>
      <c r="C228" s="4"/>
      <c r="D228" s="4"/>
      <c r="E228" s="4" t="s">
        <v>733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s="4" t="s">
        <v>734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735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4" t="s">
        <v>507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IF(hascolor(E227:E231,$L$5)=TRUE, 1, 0)</f>
        <v>0</v>
      </c>
    </row>
    <row r="232" spans="2:10" ht="17.25" thickBot="1" x14ac:dyDescent="0.35">
      <c r="B232" s="6" t="s">
        <v>47</v>
      </c>
      <c r="C232" s="6" t="s">
        <v>208</v>
      </c>
      <c r="D232" s="6" t="s">
        <v>208</v>
      </c>
      <c r="E232" s="13" t="s">
        <v>730</v>
      </c>
      <c r="F232" s="6" t="b">
        <f t="shared" si="49"/>
        <v>1</v>
      </c>
      <c r="G232" s="6">
        <f t="shared" si="50"/>
        <v>1</v>
      </c>
      <c r="H232" s="6" t="b">
        <f t="shared" si="51"/>
        <v>0</v>
      </c>
      <c r="I232" s="6">
        <f t="shared" si="52"/>
        <v>0</v>
      </c>
    </row>
    <row r="233" spans="2:10" ht="17.25" thickBot="1" x14ac:dyDescent="0.35">
      <c r="B233" s="4"/>
      <c r="C233" s="4"/>
      <c r="D233" s="4"/>
      <c r="E233" s="4" t="s">
        <v>728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s="4" t="s">
        <v>736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737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4" t="s">
        <v>540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IF(hascolor(E232:E236,$L$5)=TRUE, 1, 0)</f>
        <v>0</v>
      </c>
    </row>
    <row r="237" spans="2:10" ht="17.25" thickBot="1" x14ac:dyDescent="0.35">
      <c r="B237" s="6" t="s">
        <v>12</v>
      </c>
      <c r="C237" s="6" t="s">
        <v>209</v>
      </c>
      <c r="D237" s="6" t="s">
        <v>338</v>
      </c>
      <c r="E237" s="13" t="s">
        <v>738</v>
      </c>
      <c r="F237" s="6" t="b">
        <f t="shared" si="49"/>
        <v>1</v>
      </c>
      <c r="G237" s="6">
        <f t="shared" si="50"/>
        <v>1</v>
      </c>
      <c r="H237" s="6" t="b">
        <f t="shared" si="51"/>
        <v>0</v>
      </c>
      <c r="I237" s="6">
        <f t="shared" si="52"/>
        <v>0</v>
      </c>
    </row>
    <row r="238" spans="2:10" ht="17.25" thickBot="1" x14ac:dyDescent="0.35">
      <c r="B238" s="4"/>
      <c r="C238" s="4"/>
      <c r="D238" s="4"/>
      <c r="E238" s="4" t="s">
        <v>725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s="4" t="s">
        <v>739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715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3" ht="17.25" thickBot="1" x14ac:dyDescent="0.35">
      <c r="B241" s="5"/>
      <c r="C241" s="5"/>
      <c r="D241" s="5"/>
      <c r="E241" s="4" t="s">
        <v>541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IF(hascolor(E237:E241,$L$5)=TRUE, 1, 0)</f>
        <v>0</v>
      </c>
    </row>
    <row r="242" spans="1:13" ht="17.25" thickBot="1" x14ac:dyDescent="0.35">
      <c r="B242" s="6" t="s">
        <v>13</v>
      </c>
      <c r="C242" s="6" t="s">
        <v>210</v>
      </c>
      <c r="D242" s="6" t="s">
        <v>339</v>
      </c>
      <c r="E242" s="13" t="s">
        <v>729</v>
      </c>
      <c r="F242" s="6" t="b">
        <f t="shared" si="49"/>
        <v>1</v>
      </c>
      <c r="G242" s="6">
        <f t="shared" si="50"/>
        <v>1</v>
      </c>
      <c r="H242" s="6" t="b">
        <f t="shared" si="51"/>
        <v>0</v>
      </c>
      <c r="I242" s="6">
        <f t="shared" si="52"/>
        <v>0</v>
      </c>
    </row>
    <row r="243" spans="1:13" ht="17.25" thickBot="1" x14ac:dyDescent="0.35">
      <c r="B243" s="4"/>
      <c r="C243" s="4"/>
      <c r="D243" s="4"/>
      <c r="E243" s="4" t="s">
        <v>728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3" ht="17.25" thickBot="1" x14ac:dyDescent="0.35">
      <c r="B244" s="4"/>
      <c r="C244" s="4"/>
      <c r="D244" s="4"/>
      <c r="E244" s="4" t="s">
        <v>740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3" ht="17.25" thickBot="1" x14ac:dyDescent="0.35">
      <c r="B245" s="4"/>
      <c r="C245" s="4"/>
      <c r="D245" s="4"/>
      <c r="E245" s="4" t="s">
        <v>741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3" ht="17.25" thickBot="1" x14ac:dyDescent="0.35">
      <c r="B246" s="5"/>
      <c r="C246" s="5"/>
      <c r="D246" s="5"/>
      <c r="E246" s="4" t="s">
        <v>539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IF(hascolor(E242:E246,$L$5)=TRUE, 1, 0)</f>
        <v>0</v>
      </c>
    </row>
    <row r="247" spans="1:13" ht="17.25" thickBot="1" x14ac:dyDescent="0.35">
      <c r="B247" s="6" t="s">
        <v>106</v>
      </c>
      <c r="C247" s="6" t="s">
        <v>211</v>
      </c>
      <c r="D247" s="6" t="s">
        <v>211</v>
      </c>
      <c r="E247" s="6" t="s">
        <v>742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3" ht="17.25" thickBot="1" x14ac:dyDescent="0.35">
      <c r="B248" s="4"/>
      <c r="C248" s="4"/>
      <c r="D248" s="4"/>
      <c r="E248" s="4" t="s">
        <v>739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3" ht="17.25" thickBot="1" x14ac:dyDescent="0.35">
      <c r="B249" s="4"/>
      <c r="C249" s="4"/>
      <c r="D249" s="4"/>
      <c r="E249" s="4" t="s">
        <v>743</v>
      </c>
      <c r="F249" s="6" t="b">
        <f t="shared" si="49"/>
        <v>0</v>
      </c>
      <c r="G249" s="6">
        <f t="shared" si="50"/>
        <v>0</v>
      </c>
      <c r="H249" s="6" t="b">
        <f t="shared" si="51"/>
        <v>0</v>
      </c>
      <c r="I249" s="6">
        <f t="shared" si="52"/>
        <v>0</v>
      </c>
    </row>
    <row r="250" spans="1:13" ht="17.25" thickBot="1" x14ac:dyDescent="0.35">
      <c r="B250" s="4"/>
      <c r="C250" s="4"/>
      <c r="D250" s="4"/>
      <c r="E250" s="4" t="s">
        <v>714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3" ht="17.25" thickBot="1" x14ac:dyDescent="0.35">
      <c r="B251" s="5"/>
      <c r="C251" s="5"/>
      <c r="D251" s="5"/>
      <c r="E251" s="4" t="s">
        <v>571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IF(hascolor(E247:E251,$L$5)=TRUE, 1, 0)</f>
        <v>0</v>
      </c>
      <c r="K251">
        <f>SUM(J202:J251)</f>
        <v>0</v>
      </c>
      <c r="M251">
        <f>SUM(I202:I251)</f>
        <v>0</v>
      </c>
    </row>
    <row r="252" spans="1:13" ht="17.25" thickBot="1" x14ac:dyDescent="0.35">
      <c r="A252" s="2" t="s">
        <v>112</v>
      </c>
      <c r="B252" s="6" t="s">
        <v>48</v>
      </c>
      <c r="C252" s="6" t="s">
        <v>212</v>
      </c>
      <c r="D252" s="6" t="s">
        <v>340</v>
      </c>
      <c r="E252" s="13" t="s">
        <v>744</v>
      </c>
      <c r="F252" s="6" t="b">
        <f t="shared" si="49"/>
        <v>1</v>
      </c>
      <c r="G252" s="6">
        <f t="shared" si="50"/>
        <v>1</v>
      </c>
      <c r="H252" s="6" t="b">
        <f t="shared" si="51"/>
        <v>0</v>
      </c>
      <c r="I252" s="6">
        <f t="shared" si="52"/>
        <v>0</v>
      </c>
    </row>
    <row r="253" spans="1:13" ht="17.25" thickBot="1" x14ac:dyDescent="0.35">
      <c r="B253" s="4"/>
      <c r="C253" s="4" t="s">
        <v>213</v>
      </c>
      <c r="D253" s="4" t="s">
        <v>341</v>
      </c>
      <c r="E253" s="4" t="s">
        <v>745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3" ht="17.25" thickBot="1" x14ac:dyDescent="0.35">
      <c r="B254" s="4"/>
      <c r="C254" s="9"/>
      <c r="E254" s="4" t="s">
        <v>746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3" ht="17.25" thickBot="1" x14ac:dyDescent="0.35">
      <c r="B255" s="4"/>
      <c r="C255" s="9"/>
      <c r="E255" s="4" t="s">
        <v>747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3" ht="17.25" thickBot="1" x14ac:dyDescent="0.35">
      <c r="B256" s="5"/>
      <c r="C256" s="5"/>
      <c r="D256" s="5"/>
      <c r="E256" s="4" t="s">
        <v>472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IF(hascolor(E252:E256,$L$5)=TRUE, 1, 0)</f>
        <v>0</v>
      </c>
    </row>
    <row r="257" spans="2:10" ht="17.25" thickBot="1" x14ac:dyDescent="0.35">
      <c r="B257" s="6" t="s">
        <v>49</v>
      </c>
      <c r="C257" s="6" t="s">
        <v>212</v>
      </c>
      <c r="D257" s="6" t="s">
        <v>342</v>
      </c>
      <c r="E257" s="6" t="s">
        <v>748</v>
      </c>
      <c r="F257" s="6" t="b">
        <f t="shared" si="49"/>
        <v>1</v>
      </c>
      <c r="G257" s="6">
        <f t="shared" si="50"/>
        <v>1</v>
      </c>
      <c r="H257" s="6" t="b">
        <f t="shared" si="51"/>
        <v>0</v>
      </c>
      <c r="I257" s="6">
        <f t="shared" si="52"/>
        <v>0</v>
      </c>
    </row>
    <row r="258" spans="2:10" ht="17.25" thickBot="1" x14ac:dyDescent="0.35">
      <c r="B258" s="4"/>
      <c r="C258" s="9" t="s">
        <v>478</v>
      </c>
      <c r="D258" s="9" t="s">
        <v>478</v>
      </c>
      <c r="E258" s="4" t="s">
        <v>749</v>
      </c>
      <c r="F258" s="6" t="b">
        <f t="shared" si="49"/>
        <v>1</v>
      </c>
      <c r="G258" s="6">
        <f t="shared" si="50"/>
        <v>1</v>
      </c>
      <c r="H258" s="6" t="b">
        <f t="shared" si="51"/>
        <v>0</v>
      </c>
      <c r="I258" s="6">
        <f t="shared" si="52"/>
        <v>0</v>
      </c>
    </row>
    <row r="259" spans="2:10" ht="17.25" thickBot="1" x14ac:dyDescent="0.35">
      <c r="B259" s="4"/>
      <c r="C259" s="9" t="s">
        <v>479</v>
      </c>
      <c r="D259" s="9" t="s">
        <v>479</v>
      </c>
      <c r="E259" s="12" t="s">
        <v>750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hascolor(E259,$L$5)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746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4" t="s">
        <v>542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IF(hascolor(E257:E261,$L$5)=TRUE, 1, 0)</f>
        <v>0</v>
      </c>
    </row>
    <row r="262" spans="2:10" ht="17.25" thickBot="1" x14ac:dyDescent="0.35">
      <c r="B262" s="6" t="s">
        <v>50</v>
      </c>
      <c r="C262" s="6" t="s">
        <v>214</v>
      </c>
      <c r="D262" s="6" t="s">
        <v>343</v>
      </c>
      <c r="E262" s="13" t="s">
        <v>751</v>
      </c>
      <c r="F262" s="6" t="b">
        <f t="shared" si="66"/>
        <v>1</v>
      </c>
      <c r="G262" s="6">
        <f t="shared" si="67"/>
        <v>1</v>
      </c>
      <c r="H262" s="6" t="b">
        <f t="shared" si="68"/>
        <v>0</v>
      </c>
      <c r="I262" s="6">
        <f t="shared" si="69"/>
        <v>0</v>
      </c>
    </row>
    <row r="263" spans="2:10" ht="17.25" thickBot="1" x14ac:dyDescent="0.35">
      <c r="B263" s="4"/>
      <c r="C263" s="4" t="s">
        <v>215</v>
      </c>
      <c r="D263" s="4" t="s">
        <v>481</v>
      </c>
      <c r="E263" s="12" t="s">
        <v>752</v>
      </c>
      <c r="F263" s="6" t="b">
        <f t="shared" si="66"/>
        <v>1</v>
      </c>
      <c r="G263" s="6">
        <f t="shared" si="67"/>
        <v>1</v>
      </c>
      <c r="H263" s="6" t="b">
        <f t="shared" si="68"/>
        <v>0</v>
      </c>
      <c r="I263" s="6">
        <f t="shared" si="69"/>
        <v>0</v>
      </c>
    </row>
    <row r="264" spans="2:10" ht="17.25" thickBot="1" x14ac:dyDescent="0.35">
      <c r="B264" s="4"/>
      <c r="C264" s="4" t="s">
        <v>501</v>
      </c>
      <c r="D264" s="4" t="s">
        <v>480</v>
      </c>
      <c r="E264" s="4" t="s">
        <v>753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12" t="s">
        <v>754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4" t="s">
        <v>572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IF(hascolor(E262:E266,$L$5)=TRUE, 1, 0)</f>
        <v>0</v>
      </c>
    </row>
    <row r="267" spans="2:10" ht="17.25" thickBot="1" x14ac:dyDescent="0.35">
      <c r="B267" s="6" t="s">
        <v>51</v>
      </c>
      <c r="C267" s="6" t="s">
        <v>216</v>
      </c>
      <c r="D267" s="4" t="s">
        <v>480</v>
      </c>
      <c r="E267" s="13" t="s">
        <v>754</v>
      </c>
      <c r="F267" s="6" t="b">
        <f t="shared" si="66"/>
        <v>1</v>
      </c>
      <c r="G267" s="6">
        <f t="shared" si="67"/>
        <v>1</v>
      </c>
      <c r="H267" s="6" t="b">
        <f t="shared" si="68"/>
        <v>0</v>
      </c>
      <c r="I267" s="6">
        <f t="shared" si="69"/>
        <v>0</v>
      </c>
    </row>
    <row r="268" spans="2:10" ht="17.25" thickBot="1" x14ac:dyDescent="0.35">
      <c r="B268" s="4"/>
      <c r="C268" s="4" t="s">
        <v>217</v>
      </c>
      <c r="D268" s="4" t="s">
        <v>344</v>
      </c>
      <c r="E268" s="12" t="s">
        <v>755</v>
      </c>
      <c r="F268" s="6" t="b">
        <f t="shared" si="66"/>
        <v>1</v>
      </c>
      <c r="G268" s="6">
        <f t="shared" si="67"/>
        <v>1</v>
      </c>
      <c r="H268" s="6" t="b">
        <f t="shared" si="68"/>
        <v>0</v>
      </c>
      <c r="I268" s="6">
        <f t="shared" si="69"/>
        <v>0</v>
      </c>
    </row>
    <row r="269" spans="2:10" ht="17.25" thickBot="1" x14ac:dyDescent="0.35">
      <c r="B269" s="4"/>
      <c r="C269" s="4"/>
      <c r="E269" s="4" t="s">
        <v>756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753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4" t="s">
        <v>508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IF(hascolor(E267:E271,$L$5)=TRUE, 1, 0)</f>
        <v>0</v>
      </c>
    </row>
    <row r="272" spans="2:10" ht="17.25" thickBot="1" x14ac:dyDescent="0.35">
      <c r="B272" s="6" t="s">
        <v>52</v>
      </c>
      <c r="C272" s="6" t="s">
        <v>218</v>
      </c>
      <c r="D272" s="6" t="s">
        <v>345</v>
      </c>
      <c r="E272" s="13" t="s">
        <v>757</v>
      </c>
      <c r="F272" s="6" t="b">
        <f t="shared" si="66"/>
        <v>1</v>
      </c>
      <c r="G272" s="6">
        <f t="shared" si="67"/>
        <v>1</v>
      </c>
      <c r="H272" s="6" t="b">
        <f t="shared" si="68"/>
        <v>0</v>
      </c>
      <c r="I272" s="6">
        <f t="shared" si="69"/>
        <v>0</v>
      </c>
    </row>
    <row r="273" spans="2:10" ht="17.25" thickBot="1" x14ac:dyDescent="0.35">
      <c r="B273" s="4"/>
      <c r="C273" s="4" t="s">
        <v>219</v>
      </c>
      <c r="D273" s="4" t="s">
        <v>346</v>
      </c>
      <c r="E273" s="12" t="s">
        <v>758</v>
      </c>
      <c r="F273" s="6" t="b">
        <f t="shared" si="66"/>
        <v>1</v>
      </c>
      <c r="G273" s="6">
        <f t="shared" si="67"/>
        <v>1</v>
      </c>
      <c r="H273" s="6" t="b">
        <f t="shared" si="68"/>
        <v>0</v>
      </c>
      <c r="I273" s="6">
        <f t="shared" si="69"/>
        <v>0</v>
      </c>
    </row>
    <row r="274" spans="2:10" ht="17.25" thickBot="1" x14ac:dyDescent="0.35">
      <c r="B274" s="4"/>
      <c r="C274" s="4"/>
      <c r="D274" s="4"/>
      <c r="E274" s="4" t="s">
        <v>759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760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4" t="s">
        <v>573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IF(hascolor(E272:E276,$L$5)=TRUE, 1, 0)</f>
        <v>0</v>
      </c>
    </row>
    <row r="277" spans="2:10" ht="17.25" thickBot="1" x14ac:dyDescent="0.35">
      <c r="B277" s="6" t="s">
        <v>53</v>
      </c>
      <c r="C277" s="6" t="s">
        <v>220</v>
      </c>
      <c r="D277" s="6" t="s">
        <v>347</v>
      </c>
      <c r="E277" s="13" t="s">
        <v>761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4" t="s">
        <v>762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4" t="s">
        <v>763</v>
      </c>
      <c r="F279" s="6" t="b">
        <f t="shared" si="66"/>
        <v>0</v>
      </c>
      <c r="G279" s="6">
        <f t="shared" si="67"/>
        <v>0</v>
      </c>
      <c r="H279" s="6" t="b">
        <f t="shared" si="68"/>
        <v>0</v>
      </c>
      <c r="I279" s="6">
        <f t="shared" si="69"/>
        <v>0</v>
      </c>
    </row>
    <row r="280" spans="2:10" ht="17.25" thickBot="1" x14ac:dyDescent="0.35">
      <c r="B280" s="4"/>
      <c r="C280" s="4"/>
      <c r="D280" s="4"/>
      <c r="E280" s="4" t="s">
        <v>749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4" t="s">
        <v>508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IF(hascolor(E277:E281,$L$5)=TRUE, 1, 0)</f>
        <v>0</v>
      </c>
    </row>
    <row r="282" spans="2:10" ht="17.25" thickBot="1" x14ac:dyDescent="0.35">
      <c r="B282" s="6" t="s">
        <v>54</v>
      </c>
      <c r="C282" s="6" t="s">
        <v>221</v>
      </c>
      <c r="D282" s="6" t="s">
        <v>348</v>
      </c>
      <c r="E282" s="13" t="s">
        <v>762</v>
      </c>
      <c r="F282" s="6" t="b">
        <f t="shared" si="66"/>
        <v>1</v>
      </c>
      <c r="G282" s="6">
        <f t="shared" si="67"/>
        <v>1</v>
      </c>
      <c r="H282" s="6" t="b">
        <f t="shared" si="68"/>
        <v>0</v>
      </c>
      <c r="I282" s="6">
        <f t="shared" si="69"/>
        <v>0</v>
      </c>
    </row>
    <row r="283" spans="2:10" ht="17.25" thickBot="1" x14ac:dyDescent="0.35">
      <c r="B283" s="4"/>
      <c r="C283" s="4" t="s">
        <v>222</v>
      </c>
      <c r="D283" s="4" t="s">
        <v>349</v>
      </c>
      <c r="E283" s="12" t="s">
        <v>763</v>
      </c>
      <c r="F283" s="6" t="b">
        <f t="shared" si="66"/>
        <v>1</v>
      </c>
      <c r="G283" s="6">
        <f t="shared" si="67"/>
        <v>1</v>
      </c>
      <c r="H283" s="6" t="b">
        <f t="shared" si="68"/>
        <v>0</v>
      </c>
      <c r="I283" s="6">
        <f t="shared" si="69"/>
        <v>0</v>
      </c>
    </row>
    <row r="284" spans="2:10" ht="17.25" thickBot="1" x14ac:dyDescent="0.35">
      <c r="B284" s="4"/>
      <c r="C284" s="4"/>
      <c r="D284" s="4"/>
      <c r="E284" s="4" t="s">
        <v>761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753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4" t="s">
        <v>543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IF(hascolor(E282:E286,$L$5)=TRUE, 1, 0)</f>
        <v>0</v>
      </c>
    </row>
    <row r="287" spans="2:10" ht="17.25" thickBot="1" x14ac:dyDescent="0.35">
      <c r="B287" s="6" t="s">
        <v>55</v>
      </c>
      <c r="C287" s="6" t="s">
        <v>223</v>
      </c>
      <c r="D287" s="6" t="s">
        <v>350</v>
      </c>
      <c r="E287" s="13" t="s">
        <v>764</v>
      </c>
      <c r="F287" s="6" t="b">
        <f t="shared" si="66"/>
        <v>1</v>
      </c>
      <c r="G287" s="6">
        <f t="shared" si="67"/>
        <v>1</v>
      </c>
      <c r="H287" s="6" t="b">
        <f t="shared" si="68"/>
        <v>0</v>
      </c>
      <c r="I287" s="6">
        <f t="shared" si="69"/>
        <v>0</v>
      </c>
    </row>
    <row r="288" spans="2:10" ht="17.25" thickBot="1" x14ac:dyDescent="0.35">
      <c r="B288" s="4"/>
      <c r="C288" s="4"/>
      <c r="D288" s="4"/>
      <c r="E288" s="4" t="s">
        <v>765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3" ht="17.25" thickBot="1" x14ac:dyDescent="0.35">
      <c r="B289" s="4"/>
      <c r="C289" s="4"/>
      <c r="D289" s="4"/>
      <c r="E289" s="4" t="s">
        <v>766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3" ht="17.25" thickBot="1" x14ac:dyDescent="0.35">
      <c r="B290" s="4"/>
      <c r="C290" s="4"/>
      <c r="D290" s="4"/>
      <c r="E290" s="4" t="s">
        <v>767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3" ht="17.25" thickBot="1" x14ac:dyDescent="0.35">
      <c r="B291" s="5"/>
      <c r="C291" s="5"/>
      <c r="D291" s="5"/>
      <c r="E291" s="4" t="s">
        <v>509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IF(hascolor(E287:E291,$L$5)=TRUE, 1, 0)</f>
        <v>0</v>
      </c>
    </row>
    <row r="292" spans="1:13" ht="17.25" thickBot="1" x14ac:dyDescent="0.35">
      <c r="B292" s="6" t="s">
        <v>56</v>
      </c>
      <c r="C292" s="6" t="s">
        <v>224</v>
      </c>
      <c r="D292" s="6" t="s">
        <v>352</v>
      </c>
      <c r="E292" s="13" t="s">
        <v>768</v>
      </c>
      <c r="F292" s="6" t="b">
        <f t="shared" si="66"/>
        <v>1</v>
      </c>
      <c r="G292" s="6">
        <f t="shared" si="67"/>
        <v>1</v>
      </c>
      <c r="H292" s="6" t="b">
        <f t="shared" si="68"/>
        <v>0</v>
      </c>
      <c r="I292" s="6">
        <f t="shared" si="69"/>
        <v>0</v>
      </c>
    </row>
    <row r="293" spans="1:13" ht="17.25" thickBot="1" x14ac:dyDescent="0.35">
      <c r="B293" s="4"/>
      <c r="C293" s="4" t="s">
        <v>225</v>
      </c>
      <c r="D293" s="4" t="s">
        <v>351</v>
      </c>
      <c r="E293" s="12" t="s">
        <v>769</v>
      </c>
      <c r="F293" s="6" t="b">
        <f t="shared" si="66"/>
        <v>1</v>
      </c>
      <c r="G293" s="6">
        <f t="shared" si="67"/>
        <v>1</v>
      </c>
      <c r="H293" s="6" t="b">
        <f t="shared" si="68"/>
        <v>0</v>
      </c>
      <c r="I293" s="6">
        <f t="shared" si="69"/>
        <v>0</v>
      </c>
    </row>
    <row r="294" spans="1:13" ht="17.25" thickBot="1" x14ac:dyDescent="0.35">
      <c r="B294" s="4"/>
      <c r="C294" s="4"/>
      <c r="D294" s="4"/>
      <c r="E294" s="4" t="s">
        <v>754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3" ht="17.25" thickBot="1" x14ac:dyDescent="0.35">
      <c r="B295" s="4"/>
      <c r="C295" s="4"/>
      <c r="D295" s="4"/>
      <c r="E295" s="4" t="s">
        <v>764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3" ht="17.25" thickBot="1" x14ac:dyDescent="0.35">
      <c r="B296" s="5"/>
      <c r="C296" s="5"/>
      <c r="D296" s="5"/>
      <c r="E296" s="4" t="s">
        <v>544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IF(hascolor(E292:E296,$L$5)=TRUE, 1, 0)</f>
        <v>0</v>
      </c>
    </row>
    <row r="297" spans="1:13" ht="17.25" thickBot="1" x14ac:dyDescent="0.35">
      <c r="B297" s="6" t="s">
        <v>57</v>
      </c>
      <c r="C297" s="6" t="s">
        <v>212</v>
      </c>
      <c r="D297" s="6" t="s">
        <v>340</v>
      </c>
      <c r="E297" s="6" t="s">
        <v>749</v>
      </c>
      <c r="F297" s="6" t="b">
        <f t="shared" si="66"/>
        <v>1</v>
      </c>
      <c r="G297" s="6">
        <f t="shared" si="67"/>
        <v>1</v>
      </c>
      <c r="H297" s="6" t="b">
        <f t="shared" si="68"/>
        <v>0</v>
      </c>
      <c r="I297" s="6">
        <f t="shared" si="69"/>
        <v>0</v>
      </c>
    </row>
    <row r="298" spans="1:13" ht="17.25" thickBot="1" x14ac:dyDescent="0.35">
      <c r="B298" s="4"/>
      <c r="C298" s="4" t="s">
        <v>226</v>
      </c>
      <c r="D298" s="4" t="s">
        <v>353</v>
      </c>
      <c r="E298" s="4" t="s">
        <v>762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3" ht="17.25" thickBot="1" x14ac:dyDescent="0.35">
      <c r="B299" s="4"/>
      <c r="C299" s="4"/>
      <c r="D299" s="4"/>
      <c r="E299" s="4" t="s">
        <v>746</v>
      </c>
      <c r="F299" s="6" t="b">
        <f t="shared" si="66"/>
        <v>0</v>
      </c>
      <c r="G299" s="6">
        <f t="shared" si="67"/>
        <v>0</v>
      </c>
      <c r="H299" s="6" t="b">
        <f t="shared" si="68"/>
        <v>0</v>
      </c>
      <c r="I299" s="6">
        <f t="shared" si="69"/>
        <v>0</v>
      </c>
    </row>
    <row r="300" spans="1:13" ht="17.25" thickBot="1" x14ac:dyDescent="0.35">
      <c r="B300" s="4"/>
      <c r="C300" s="4"/>
      <c r="D300" s="4"/>
      <c r="E300" s="4" t="s">
        <v>770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3" ht="17.25" thickBot="1" x14ac:dyDescent="0.35">
      <c r="B301" s="5"/>
      <c r="C301" s="5"/>
      <c r="D301" s="5"/>
      <c r="E301" s="12" t="s">
        <v>473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IF(hascolor(E297:E301,$L$5)=TRUE, 1, 0)</f>
        <v>0</v>
      </c>
      <c r="K301">
        <f>SUM(J252:J301)</f>
        <v>0</v>
      </c>
      <c r="M301">
        <f>SUM(I252:I301)</f>
        <v>0</v>
      </c>
    </row>
    <row r="302" spans="1:13" ht="17.25" thickBot="1" x14ac:dyDescent="0.35">
      <c r="A302" s="2" t="s">
        <v>113</v>
      </c>
      <c r="B302" s="6" t="s">
        <v>58</v>
      </c>
      <c r="C302" s="6" t="s">
        <v>227</v>
      </c>
      <c r="D302" s="6" t="s">
        <v>355</v>
      </c>
      <c r="E302" s="13" t="s">
        <v>771</v>
      </c>
      <c r="F302" s="6" t="b">
        <f t="shared" si="66"/>
        <v>1</v>
      </c>
      <c r="G302" s="6">
        <f t="shared" si="67"/>
        <v>1</v>
      </c>
      <c r="H302" s="6" t="b">
        <f t="shared" si="68"/>
        <v>0</v>
      </c>
      <c r="I302" s="6">
        <f t="shared" si="69"/>
        <v>0</v>
      </c>
    </row>
    <row r="303" spans="1:13" ht="17.25" thickBot="1" x14ac:dyDescent="0.35">
      <c r="B303" s="4"/>
      <c r="C303" s="4" t="s">
        <v>228</v>
      </c>
      <c r="D303" s="4" t="s">
        <v>354</v>
      </c>
      <c r="E303" s="4" t="s">
        <v>772</v>
      </c>
      <c r="F303" s="6" t="b">
        <f t="shared" si="66"/>
        <v>1</v>
      </c>
      <c r="G303" s="6">
        <f t="shared" si="67"/>
        <v>1</v>
      </c>
      <c r="H303" s="6" t="b">
        <f t="shared" si="68"/>
        <v>0</v>
      </c>
      <c r="I303" s="6">
        <f t="shared" si="69"/>
        <v>0</v>
      </c>
    </row>
    <row r="304" spans="1:13" ht="17.25" thickBot="1" x14ac:dyDescent="0.35">
      <c r="B304" s="4"/>
      <c r="C304" s="4" t="s">
        <v>229</v>
      </c>
      <c r="D304" s="4" t="s">
        <v>356</v>
      </c>
      <c r="E304" s="12" t="s">
        <v>773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774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4" t="s">
        <v>474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IF(hascolor(E302:E306,$L$5)=TRUE, 1, 0)</f>
        <v>0</v>
      </c>
    </row>
    <row r="307" spans="2:10" ht="17.25" thickBot="1" x14ac:dyDescent="0.35">
      <c r="B307" s="6" t="s">
        <v>59</v>
      </c>
      <c r="C307" s="6" t="s">
        <v>230</v>
      </c>
      <c r="D307" s="6" t="s">
        <v>355</v>
      </c>
      <c r="E307" s="6" t="s">
        <v>775</v>
      </c>
      <c r="F307" s="6" t="b">
        <f t="shared" si="66"/>
        <v>1</v>
      </c>
      <c r="G307" s="6">
        <f t="shared" si="67"/>
        <v>1</v>
      </c>
      <c r="H307" s="6" t="b">
        <f t="shared" si="68"/>
        <v>0</v>
      </c>
      <c r="I307" s="6">
        <f t="shared" si="69"/>
        <v>0</v>
      </c>
    </row>
    <row r="308" spans="2:10" ht="17.25" thickBot="1" x14ac:dyDescent="0.35">
      <c r="B308" s="4"/>
      <c r="C308" s="4" t="s">
        <v>231</v>
      </c>
      <c r="D308" s="4" t="s">
        <v>357</v>
      </c>
      <c r="E308" s="12" t="s">
        <v>772</v>
      </c>
      <c r="F308" s="6" t="b">
        <f t="shared" si="66"/>
        <v>1</v>
      </c>
      <c r="G308" s="6">
        <f t="shared" si="67"/>
        <v>1</v>
      </c>
      <c r="H308" s="6" t="b">
        <f t="shared" si="68"/>
        <v>0</v>
      </c>
      <c r="I308" s="6">
        <f t="shared" si="69"/>
        <v>0</v>
      </c>
    </row>
    <row r="309" spans="2:10" ht="17.25" thickBot="1" x14ac:dyDescent="0.35">
      <c r="B309" s="4"/>
      <c r="C309" s="4" t="s">
        <v>232</v>
      </c>
      <c r="D309" s="4" t="s">
        <v>358</v>
      </c>
      <c r="E309" s="12" t="s">
        <v>773</v>
      </c>
      <c r="F309" s="6" t="b">
        <f t="shared" si="66"/>
        <v>1</v>
      </c>
      <c r="G309" s="6">
        <f t="shared" si="67"/>
        <v>1</v>
      </c>
      <c r="H309" s="6" t="b">
        <f t="shared" si="68"/>
        <v>0</v>
      </c>
      <c r="I309" s="6">
        <f t="shared" si="69"/>
        <v>0</v>
      </c>
    </row>
    <row r="310" spans="2:10" ht="17.25" thickBot="1" x14ac:dyDescent="0.35">
      <c r="B310" s="4"/>
      <c r="C310" s="4"/>
      <c r="D310" s="4"/>
      <c r="E310" s="4" t="s">
        <v>776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4" t="s">
        <v>510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IF(hascolor(E307:E311,$L$5)=TRUE, 1, 0)</f>
        <v>0</v>
      </c>
    </row>
    <row r="312" spans="2:10" ht="17.25" thickBot="1" x14ac:dyDescent="0.35">
      <c r="B312" s="6" t="s">
        <v>60</v>
      </c>
      <c r="C312" s="6" t="s">
        <v>233</v>
      </c>
      <c r="D312" s="6" t="s">
        <v>233</v>
      </c>
      <c r="E312" s="13" t="s">
        <v>777</v>
      </c>
      <c r="F312" s="6" t="b">
        <f t="shared" si="66"/>
        <v>1</v>
      </c>
      <c r="G312" s="6">
        <f t="shared" si="67"/>
        <v>1</v>
      </c>
      <c r="H312" s="6" t="b">
        <f t="shared" si="68"/>
        <v>0</v>
      </c>
      <c r="I312" s="6">
        <f t="shared" si="69"/>
        <v>0</v>
      </c>
    </row>
    <row r="313" spans="2:10" ht="17.25" thickBot="1" x14ac:dyDescent="0.35">
      <c r="B313" s="4"/>
      <c r="C313" s="4" t="s">
        <v>234</v>
      </c>
      <c r="D313" s="4" t="s">
        <v>359</v>
      </c>
      <c r="E313" s="4" t="s">
        <v>778</v>
      </c>
      <c r="F313" s="6" t="b">
        <f t="shared" si="66"/>
        <v>1</v>
      </c>
      <c r="G313" s="6">
        <f t="shared" si="67"/>
        <v>1</v>
      </c>
      <c r="H313" s="6" t="b">
        <f t="shared" si="68"/>
        <v>0</v>
      </c>
      <c r="I313" s="6">
        <f t="shared" si="69"/>
        <v>0</v>
      </c>
    </row>
    <row r="314" spans="2:10" ht="17.25" thickBot="1" x14ac:dyDescent="0.35">
      <c r="B314" s="4"/>
      <c r="C314" s="4"/>
      <c r="D314" s="4"/>
      <c r="E314" s="4" t="s">
        <v>771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12" t="s">
        <v>774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4" t="s">
        <v>545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IF(hascolor(E312:E316,$L$5)=TRUE, 1, 0)</f>
        <v>0</v>
      </c>
    </row>
    <row r="317" spans="2:10" ht="17.25" thickBot="1" x14ac:dyDescent="0.35">
      <c r="B317" s="6" t="s">
        <v>61</v>
      </c>
      <c r="C317" s="6" t="s">
        <v>235</v>
      </c>
      <c r="D317" s="6" t="s">
        <v>360</v>
      </c>
      <c r="E317" s="13" t="s">
        <v>779</v>
      </c>
      <c r="F317" s="6" t="b">
        <f t="shared" si="66"/>
        <v>1</v>
      </c>
      <c r="G317" s="6">
        <f t="shared" si="67"/>
        <v>1</v>
      </c>
      <c r="H317" s="6" t="b">
        <f t="shared" si="68"/>
        <v>0</v>
      </c>
      <c r="I317" s="6">
        <f t="shared" si="69"/>
        <v>0</v>
      </c>
    </row>
    <row r="318" spans="2:10" ht="17.25" thickBot="1" x14ac:dyDescent="0.35">
      <c r="B318" s="4"/>
      <c r="C318" s="4" t="s">
        <v>236</v>
      </c>
      <c r="D318" s="4" t="s">
        <v>236</v>
      </c>
      <c r="E318" s="12" t="s">
        <v>780</v>
      </c>
      <c r="F318" s="6" t="b">
        <f t="shared" si="66"/>
        <v>1</v>
      </c>
      <c r="G318" s="6">
        <f t="shared" si="67"/>
        <v>1</v>
      </c>
      <c r="H318" s="6" t="b">
        <f t="shared" si="68"/>
        <v>0</v>
      </c>
      <c r="I318" s="6">
        <f t="shared" si="69"/>
        <v>0</v>
      </c>
    </row>
    <row r="319" spans="2:10" ht="17.25" thickBot="1" x14ac:dyDescent="0.35">
      <c r="B319" s="4"/>
      <c r="C319" s="4" t="s">
        <v>237</v>
      </c>
      <c r="D319" s="4" t="s">
        <v>237</v>
      </c>
      <c r="E319" s="12" t="s">
        <v>781</v>
      </c>
      <c r="F319" s="6" t="b">
        <f t="shared" si="66"/>
        <v>1</v>
      </c>
      <c r="G319" s="6">
        <f t="shared" si="67"/>
        <v>1</v>
      </c>
      <c r="H319" s="6" t="b">
        <f t="shared" si="68"/>
        <v>0</v>
      </c>
      <c r="I319" s="6">
        <f t="shared" si="69"/>
        <v>0</v>
      </c>
    </row>
    <row r="320" spans="2:10" ht="17.25" thickBot="1" x14ac:dyDescent="0.35">
      <c r="B320" s="4"/>
      <c r="C320" s="4"/>
      <c r="D320" s="4"/>
      <c r="E320" s="4" t="s">
        <v>782</v>
      </c>
      <c r="F320" s="6" t="b">
        <f t="shared" si="66"/>
        <v>0</v>
      </c>
      <c r="G320" s="6">
        <f t="shared" si="67"/>
        <v>0</v>
      </c>
      <c r="H320" s="6" t="b">
        <f t="shared" si="68"/>
        <v>0</v>
      </c>
      <c r="I320" s="6">
        <f t="shared" si="69"/>
        <v>0</v>
      </c>
    </row>
    <row r="321" spans="2:10" ht="17.25" thickBot="1" x14ac:dyDescent="0.35">
      <c r="B321" s="5"/>
      <c r="C321" s="5"/>
      <c r="D321" s="5"/>
      <c r="E321" s="4" t="s">
        <v>475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IF(hascolor(E317:E321,$L$5)=TRUE, 1, 0)</f>
        <v>0</v>
      </c>
    </row>
    <row r="322" spans="2:10" ht="17.25" thickBot="1" x14ac:dyDescent="0.35">
      <c r="B322" s="6" t="s">
        <v>62</v>
      </c>
      <c r="C322" s="6" t="s">
        <v>238</v>
      </c>
      <c r="D322" s="6" t="s">
        <v>499</v>
      </c>
      <c r="E322" s="6" t="s">
        <v>783</v>
      </c>
      <c r="F322" s="6" t="b">
        <f t="shared" si="66"/>
        <v>1</v>
      </c>
      <c r="G322" s="6">
        <f t="shared" si="67"/>
        <v>1</v>
      </c>
      <c r="H322" s="6" t="b">
        <f t="shared" si="68"/>
        <v>0</v>
      </c>
      <c r="I322" s="6">
        <f t="shared" si="69"/>
        <v>0</v>
      </c>
    </row>
    <row r="323" spans="2:10" ht="17.25" thickBot="1" x14ac:dyDescent="0.35">
      <c r="B323" s="4"/>
      <c r="C323" s="4" t="s">
        <v>239</v>
      </c>
      <c r="D323" s="4" t="s">
        <v>361</v>
      </c>
      <c r="E323" s="12" t="s">
        <v>784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hascolor(E323,$L$5)</f>
        <v>0</v>
      </c>
      <c r="I323" s="6">
        <f t="shared" ref="I323:I386" si="86">IF(H323, 1, 0)</f>
        <v>0</v>
      </c>
    </row>
    <row r="324" spans="2:10" ht="17.25" thickBot="1" x14ac:dyDescent="0.35">
      <c r="B324" s="4"/>
      <c r="C324" s="4"/>
      <c r="D324" s="4"/>
      <c r="E324" s="4" t="s">
        <v>785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786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4" t="s">
        <v>546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IF(hascolor(E322:E326,$L$5)=TRUE, 1, 0)</f>
        <v>0</v>
      </c>
    </row>
    <row r="327" spans="2:10" ht="17.25" thickBot="1" x14ac:dyDescent="0.35">
      <c r="B327" s="6" t="s">
        <v>63</v>
      </c>
      <c r="C327" s="6" t="s">
        <v>240</v>
      </c>
      <c r="D327" s="6" t="s">
        <v>500</v>
      </c>
      <c r="E327" s="13" t="s">
        <v>787</v>
      </c>
      <c r="F327" s="6" t="b">
        <f t="shared" si="83"/>
        <v>1</v>
      </c>
      <c r="G327" s="6">
        <f t="shared" si="84"/>
        <v>1</v>
      </c>
      <c r="H327" s="6" t="b">
        <f t="shared" si="85"/>
        <v>0</v>
      </c>
      <c r="I327" s="6">
        <f t="shared" si="86"/>
        <v>0</v>
      </c>
    </row>
    <row r="328" spans="2:10" ht="17.25" thickBot="1" x14ac:dyDescent="0.35">
      <c r="B328" s="4"/>
      <c r="C328" s="4" t="s">
        <v>241</v>
      </c>
      <c r="D328" s="4" t="s">
        <v>362</v>
      </c>
      <c r="E328" s="12" t="s">
        <v>788</v>
      </c>
      <c r="F328" s="6" t="b">
        <f t="shared" si="83"/>
        <v>1</v>
      </c>
      <c r="G328" s="6">
        <f t="shared" si="84"/>
        <v>1</v>
      </c>
      <c r="H328" s="6" t="b">
        <f t="shared" si="85"/>
        <v>0</v>
      </c>
      <c r="I328" s="6">
        <f t="shared" si="86"/>
        <v>0</v>
      </c>
    </row>
    <row r="329" spans="2:10" ht="17.25" thickBot="1" x14ac:dyDescent="0.35">
      <c r="B329" s="4"/>
      <c r="C329" s="4" t="s">
        <v>242</v>
      </c>
      <c r="D329" s="4" t="s">
        <v>242</v>
      </c>
      <c r="E329" s="4" t="s">
        <v>789</v>
      </c>
      <c r="F329" s="6" t="b">
        <f t="shared" si="83"/>
        <v>1</v>
      </c>
      <c r="G329" s="6">
        <f t="shared" si="84"/>
        <v>1</v>
      </c>
      <c r="H329" s="6" t="b">
        <f t="shared" si="85"/>
        <v>0</v>
      </c>
      <c r="I329" s="6">
        <f t="shared" si="86"/>
        <v>0</v>
      </c>
    </row>
    <row r="330" spans="2:10" ht="17.25" thickBot="1" x14ac:dyDescent="0.35">
      <c r="B330" s="4"/>
      <c r="C330" s="4"/>
      <c r="D330" s="4"/>
      <c r="E330" s="4" t="s">
        <v>790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12" t="s">
        <v>547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IF(hascolor(E327:E331,$L$5)=TRUE, 1, 0)</f>
        <v>0</v>
      </c>
    </row>
    <row r="332" spans="2:10" ht="17.25" thickBot="1" x14ac:dyDescent="0.35">
      <c r="B332" s="6" t="s">
        <v>64</v>
      </c>
      <c r="C332" s="6" t="s">
        <v>243</v>
      </c>
      <c r="D332" s="6" t="s">
        <v>363</v>
      </c>
      <c r="E332" s="13" t="s">
        <v>780</v>
      </c>
      <c r="F332" s="6" t="b">
        <f t="shared" si="83"/>
        <v>1</v>
      </c>
      <c r="G332" s="6">
        <f t="shared" si="84"/>
        <v>1</v>
      </c>
      <c r="H332" s="6" t="b">
        <f t="shared" si="85"/>
        <v>0</v>
      </c>
      <c r="I332" s="6">
        <f t="shared" si="86"/>
        <v>0</v>
      </c>
    </row>
    <row r="333" spans="2:10" ht="17.25" thickBot="1" x14ac:dyDescent="0.35">
      <c r="B333" s="4"/>
      <c r="C333" s="4" t="s">
        <v>244</v>
      </c>
      <c r="D333" s="4" t="s">
        <v>244</v>
      </c>
      <c r="E333" s="12" t="s">
        <v>791</v>
      </c>
      <c r="F333" s="6" t="b">
        <f t="shared" si="83"/>
        <v>1</v>
      </c>
      <c r="G333" s="6">
        <f t="shared" si="84"/>
        <v>1</v>
      </c>
      <c r="H333" s="6" t="b">
        <f t="shared" si="85"/>
        <v>0</v>
      </c>
      <c r="I333" s="6">
        <f t="shared" si="86"/>
        <v>0</v>
      </c>
    </row>
    <row r="334" spans="2:10" ht="17.25" thickBot="1" x14ac:dyDescent="0.35">
      <c r="B334" s="4"/>
      <c r="C334" s="4" t="s">
        <v>245</v>
      </c>
      <c r="D334" s="4" t="s">
        <v>364</v>
      </c>
      <c r="E334" s="12" t="s">
        <v>792</v>
      </c>
      <c r="F334" s="6" t="b">
        <f t="shared" si="83"/>
        <v>1</v>
      </c>
      <c r="G334" s="6">
        <f t="shared" si="84"/>
        <v>1</v>
      </c>
      <c r="H334" s="6" t="b">
        <f t="shared" si="85"/>
        <v>0</v>
      </c>
      <c r="I334" s="6">
        <f t="shared" si="86"/>
        <v>0</v>
      </c>
    </row>
    <row r="335" spans="2:10" ht="17.25" thickBot="1" x14ac:dyDescent="0.35">
      <c r="B335" s="4"/>
      <c r="C335" s="4"/>
      <c r="D335" s="4" t="s">
        <v>360</v>
      </c>
      <c r="E335" s="4" t="s">
        <v>781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365</v>
      </c>
      <c r="E336" s="4" t="s">
        <v>475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IF(hascolor(E332:E336,$L$5)=TRUE, 1, 0)</f>
        <v>0</v>
      </c>
    </row>
    <row r="337" spans="1:13" ht="17.25" thickBot="1" x14ac:dyDescent="0.35">
      <c r="B337" s="6" t="s">
        <v>65</v>
      </c>
      <c r="C337" s="6" t="s">
        <v>246</v>
      </c>
      <c r="D337" s="6" t="s">
        <v>356</v>
      </c>
      <c r="E337" s="13" t="s">
        <v>771</v>
      </c>
      <c r="F337" s="6" t="b">
        <f t="shared" si="83"/>
        <v>1</v>
      </c>
      <c r="G337" s="6">
        <f t="shared" si="84"/>
        <v>1</v>
      </c>
      <c r="H337" s="6" t="b">
        <f t="shared" si="85"/>
        <v>0</v>
      </c>
      <c r="I337" s="6">
        <f t="shared" si="86"/>
        <v>0</v>
      </c>
    </row>
    <row r="338" spans="1:13" ht="17.25" thickBot="1" x14ac:dyDescent="0.35">
      <c r="B338" s="4"/>
      <c r="C338" s="4"/>
      <c r="D338" s="4" t="s">
        <v>365</v>
      </c>
      <c r="E338" s="12" t="s">
        <v>793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3" ht="17.25" thickBot="1" x14ac:dyDescent="0.35">
      <c r="B339" s="4"/>
      <c r="C339" s="4"/>
      <c r="D339" s="4"/>
      <c r="E339" s="4" t="s">
        <v>794</v>
      </c>
      <c r="F339" s="6" t="b">
        <f t="shared" si="83"/>
        <v>0</v>
      </c>
      <c r="G339" s="6">
        <f t="shared" si="84"/>
        <v>0</v>
      </c>
      <c r="H339" s="6" t="b">
        <f t="shared" si="85"/>
        <v>0</v>
      </c>
      <c r="I339" s="6">
        <f t="shared" si="86"/>
        <v>0</v>
      </c>
    </row>
    <row r="340" spans="1:13" ht="17.25" thickBot="1" x14ac:dyDescent="0.35">
      <c r="B340" s="4"/>
      <c r="C340" s="4"/>
      <c r="D340" s="4"/>
      <c r="E340" s="4" t="s">
        <v>777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3" ht="17.25" thickBot="1" x14ac:dyDescent="0.35">
      <c r="B341" s="5"/>
      <c r="C341" s="5"/>
      <c r="D341" s="5"/>
      <c r="E341" s="4" t="s">
        <v>511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IF(hascolor(E337:E341,$L$5)=TRUE, 1, 0)</f>
        <v>0</v>
      </c>
    </row>
    <row r="342" spans="1:13" ht="17.25" thickBot="1" x14ac:dyDescent="0.35">
      <c r="B342" s="6" t="s">
        <v>66</v>
      </c>
      <c r="C342" s="6" t="s">
        <v>247</v>
      </c>
      <c r="D342" s="6" t="s">
        <v>247</v>
      </c>
      <c r="E342" s="6" t="s">
        <v>795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3" ht="17.25" thickBot="1" x14ac:dyDescent="0.35">
      <c r="B343" s="4"/>
      <c r="C343" s="4" t="s">
        <v>248</v>
      </c>
      <c r="D343" s="4" t="s">
        <v>248</v>
      </c>
      <c r="E343" s="12" t="s">
        <v>796</v>
      </c>
      <c r="F343" s="6" t="b">
        <f t="shared" si="83"/>
        <v>1</v>
      </c>
      <c r="G343" s="6">
        <f t="shared" si="84"/>
        <v>1</v>
      </c>
      <c r="H343" s="6" t="b">
        <f t="shared" si="85"/>
        <v>0</v>
      </c>
      <c r="I343" s="6">
        <f t="shared" si="86"/>
        <v>0</v>
      </c>
    </row>
    <row r="344" spans="1:13" ht="17.25" thickBot="1" x14ac:dyDescent="0.35">
      <c r="B344" s="4"/>
      <c r="C344" s="4" t="s">
        <v>249</v>
      </c>
      <c r="D344" s="4" t="s">
        <v>249</v>
      </c>
      <c r="E344" s="12" t="s">
        <v>797</v>
      </c>
      <c r="F344" s="6" t="b">
        <f t="shared" si="83"/>
        <v>1</v>
      </c>
      <c r="G344" s="6">
        <f t="shared" si="84"/>
        <v>1</v>
      </c>
      <c r="H344" s="6" t="b">
        <f t="shared" si="85"/>
        <v>0</v>
      </c>
      <c r="I344" s="6">
        <f t="shared" si="86"/>
        <v>0</v>
      </c>
    </row>
    <row r="345" spans="1:13" ht="17.25" thickBot="1" x14ac:dyDescent="0.35">
      <c r="B345" s="4"/>
      <c r="C345" s="4"/>
      <c r="D345" s="4"/>
      <c r="E345" s="4" t="s">
        <v>798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3" ht="17.25" thickBot="1" x14ac:dyDescent="0.35">
      <c r="B346" s="5"/>
      <c r="C346" s="5"/>
      <c r="D346" s="5"/>
      <c r="E346" s="4" t="s">
        <v>510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IF(hascolor(E342:E346,$L$5)=TRUE, 1, 0)</f>
        <v>0</v>
      </c>
    </row>
    <row r="347" spans="1:13" ht="17.25" thickBot="1" x14ac:dyDescent="0.35">
      <c r="B347" s="6" t="s">
        <v>67</v>
      </c>
      <c r="C347" s="6" t="s">
        <v>250</v>
      </c>
      <c r="D347" s="6" t="s">
        <v>366</v>
      </c>
      <c r="E347" s="13" t="s">
        <v>799</v>
      </c>
      <c r="F347" s="6" t="b">
        <f t="shared" si="83"/>
        <v>1</v>
      </c>
      <c r="G347" s="6">
        <f t="shared" si="84"/>
        <v>1</v>
      </c>
      <c r="H347" s="6" t="b">
        <f t="shared" si="85"/>
        <v>0</v>
      </c>
      <c r="I347" s="6">
        <f t="shared" si="86"/>
        <v>0</v>
      </c>
    </row>
    <row r="348" spans="1:13" ht="17.25" thickBot="1" x14ac:dyDescent="0.35">
      <c r="B348" s="4"/>
      <c r="C348" s="4" t="s">
        <v>251</v>
      </c>
      <c r="D348" s="4" t="s">
        <v>367</v>
      </c>
      <c r="E348" s="12" t="s">
        <v>800</v>
      </c>
      <c r="F348" s="6" t="b">
        <f t="shared" si="83"/>
        <v>1</v>
      </c>
      <c r="G348" s="6">
        <f t="shared" si="84"/>
        <v>1</v>
      </c>
      <c r="H348" s="6" t="b">
        <f t="shared" si="85"/>
        <v>0</v>
      </c>
      <c r="I348" s="6">
        <f t="shared" si="86"/>
        <v>0</v>
      </c>
    </row>
    <row r="349" spans="1:13" ht="17.25" thickBot="1" x14ac:dyDescent="0.35">
      <c r="B349" s="4"/>
      <c r="C349" s="4"/>
      <c r="D349" s="4"/>
      <c r="E349" s="4" t="s">
        <v>801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3" ht="17.25" thickBot="1" x14ac:dyDescent="0.35">
      <c r="B350" s="4"/>
      <c r="C350" s="4"/>
      <c r="D350" s="4"/>
      <c r="E350" s="4" t="s">
        <v>776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3" ht="17.25" thickBot="1" x14ac:dyDescent="0.35">
      <c r="B351" s="5"/>
      <c r="C351" s="5"/>
      <c r="D351" s="5"/>
      <c r="E351" s="4" t="s">
        <v>574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IF(hascolor(E347:E351,$L$5)=TRUE, 1, 0)</f>
        <v>0</v>
      </c>
      <c r="K351">
        <f>SUM(J302:J351)</f>
        <v>0</v>
      </c>
      <c r="M351">
        <f>SUM(I302:I351)</f>
        <v>0</v>
      </c>
    </row>
    <row r="352" spans="1:13" ht="17.25" thickBot="1" x14ac:dyDescent="0.35">
      <c r="A352" s="2" t="s">
        <v>114</v>
      </c>
      <c r="B352" s="6" t="s">
        <v>6</v>
      </c>
      <c r="C352" s="6" t="s">
        <v>252</v>
      </c>
      <c r="D352" s="6" t="s">
        <v>368</v>
      </c>
      <c r="E352" s="13" t="s">
        <v>802</v>
      </c>
      <c r="F352" s="6" t="b">
        <f t="shared" si="83"/>
        <v>1</v>
      </c>
      <c r="G352" s="6">
        <f t="shared" si="84"/>
        <v>1</v>
      </c>
      <c r="H352" s="6" t="b">
        <f t="shared" si="85"/>
        <v>0</v>
      </c>
      <c r="I352" s="6">
        <f t="shared" si="86"/>
        <v>0</v>
      </c>
    </row>
    <row r="353" spans="2:10" ht="17.25" thickBot="1" x14ac:dyDescent="0.35">
      <c r="B353" s="4"/>
      <c r="C353" s="4" t="s">
        <v>253</v>
      </c>
      <c r="D353" s="4" t="s">
        <v>398</v>
      </c>
      <c r="E353" s="12" t="s">
        <v>803</v>
      </c>
      <c r="F353" s="6" t="b">
        <f t="shared" si="83"/>
        <v>1</v>
      </c>
      <c r="G353" s="6">
        <f t="shared" si="84"/>
        <v>1</v>
      </c>
      <c r="H353" s="6" t="b">
        <f t="shared" si="85"/>
        <v>0</v>
      </c>
      <c r="I353" s="6">
        <f t="shared" si="86"/>
        <v>0</v>
      </c>
    </row>
    <row r="354" spans="2:10" ht="17.25" thickBot="1" x14ac:dyDescent="0.35">
      <c r="B354" s="4"/>
      <c r="C354" s="4" t="s">
        <v>254</v>
      </c>
      <c r="D354" s="4"/>
      <c r="E354" s="4" t="s">
        <v>804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805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4" t="s">
        <v>516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IF(hascolor(E352:E356,$L$5)=TRUE, 1, 0)</f>
        <v>0</v>
      </c>
    </row>
    <row r="357" spans="2:10" ht="17.25" thickBot="1" x14ac:dyDescent="0.35">
      <c r="B357" s="6" t="s">
        <v>68</v>
      </c>
      <c r="C357" s="6" t="s">
        <v>255</v>
      </c>
      <c r="D357" s="6" t="s">
        <v>368</v>
      </c>
      <c r="E357" s="13" t="s">
        <v>802</v>
      </c>
      <c r="F357" s="6" t="b">
        <f t="shared" si="83"/>
        <v>1</v>
      </c>
      <c r="G357" s="6">
        <f t="shared" si="84"/>
        <v>1</v>
      </c>
      <c r="H357" s="6" t="b">
        <f t="shared" si="85"/>
        <v>0</v>
      </c>
      <c r="I357" s="6">
        <f t="shared" si="86"/>
        <v>0</v>
      </c>
    </row>
    <row r="358" spans="2:10" ht="17.25" thickBot="1" x14ac:dyDescent="0.35">
      <c r="B358" s="4"/>
      <c r="C358" s="4" t="s">
        <v>256</v>
      </c>
      <c r="D358" s="4" t="s">
        <v>397</v>
      </c>
      <c r="E358" s="12" t="s">
        <v>803</v>
      </c>
      <c r="F358" s="6" t="b">
        <f t="shared" si="83"/>
        <v>1</v>
      </c>
      <c r="G358" s="6">
        <f t="shared" si="84"/>
        <v>1</v>
      </c>
      <c r="H358" s="6" t="b">
        <f t="shared" si="85"/>
        <v>0</v>
      </c>
      <c r="I358" s="6">
        <f t="shared" si="86"/>
        <v>0</v>
      </c>
    </row>
    <row r="359" spans="2:10" ht="17.25" thickBot="1" x14ac:dyDescent="0.35">
      <c r="B359" s="4"/>
      <c r="C359" s="4" t="s">
        <v>257</v>
      </c>
      <c r="E359" s="4" t="s">
        <v>804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258</v>
      </c>
      <c r="D360" s="4"/>
      <c r="E360" s="4" t="s">
        <v>806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4" t="s">
        <v>516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IF(hascolor(E357:E361,$L$5)=TRUE, 1, 0)</f>
        <v>0</v>
      </c>
    </row>
    <row r="362" spans="2:10" ht="17.25" thickBot="1" x14ac:dyDescent="0.35">
      <c r="B362" s="6" t="s">
        <v>7</v>
      </c>
      <c r="C362" s="6" t="s">
        <v>259</v>
      </c>
      <c r="D362" s="6" t="s">
        <v>369</v>
      </c>
      <c r="E362" s="13" t="s">
        <v>807</v>
      </c>
      <c r="F362" s="6" t="b">
        <f t="shared" si="83"/>
        <v>1</v>
      </c>
      <c r="G362" s="6">
        <f t="shared" si="84"/>
        <v>1</v>
      </c>
      <c r="H362" s="6" t="b">
        <f t="shared" si="85"/>
        <v>0</v>
      </c>
      <c r="I362" s="6">
        <f t="shared" si="86"/>
        <v>0</v>
      </c>
    </row>
    <row r="363" spans="2:10" ht="17.25" thickBot="1" x14ac:dyDescent="0.35">
      <c r="B363" s="4"/>
      <c r="C363" s="4" t="s">
        <v>260</v>
      </c>
      <c r="D363" s="4" t="s">
        <v>396</v>
      </c>
      <c r="E363" s="4" t="s">
        <v>808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261</v>
      </c>
      <c r="D364" s="4"/>
      <c r="E364" s="4" t="s">
        <v>809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810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4" t="s">
        <v>575</v>
      </c>
      <c r="F366" s="6" t="b">
        <f t="shared" si="83"/>
        <v>0</v>
      </c>
      <c r="G366" s="6">
        <f t="shared" si="84"/>
        <v>0</v>
      </c>
      <c r="H366" s="6" t="b">
        <f t="shared" si="85"/>
        <v>0</v>
      </c>
      <c r="I366" s="6">
        <f t="shared" si="86"/>
        <v>0</v>
      </c>
      <c r="J366">
        <f t="shared" ref="J366" si="95">IF(hascolor(E362:E366,$L$5)=TRUE, 1, 0)</f>
        <v>0</v>
      </c>
    </row>
    <row r="367" spans="2:10" ht="17.25" thickBot="1" x14ac:dyDescent="0.35">
      <c r="B367" s="6" t="s">
        <v>8</v>
      </c>
      <c r="C367" s="6" t="s">
        <v>262</v>
      </c>
      <c r="D367" s="6" t="s">
        <v>370</v>
      </c>
      <c r="E367" s="13" t="s">
        <v>811</v>
      </c>
      <c r="F367" s="6" t="b">
        <f t="shared" si="83"/>
        <v>1</v>
      </c>
      <c r="G367" s="6">
        <f t="shared" si="84"/>
        <v>1</v>
      </c>
      <c r="H367" s="6" t="b">
        <f t="shared" si="85"/>
        <v>0</v>
      </c>
      <c r="I367" s="6">
        <f t="shared" si="86"/>
        <v>0</v>
      </c>
    </row>
    <row r="368" spans="2:10" ht="17.25" thickBot="1" x14ac:dyDescent="0.35">
      <c r="B368" s="4"/>
      <c r="C368" s="4" t="s">
        <v>263</v>
      </c>
      <c r="D368" s="4" t="s">
        <v>395</v>
      </c>
      <c r="E368" s="12" t="s">
        <v>806</v>
      </c>
      <c r="F368" s="6" t="b">
        <f t="shared" si="83"/>
        <v>1</v>
      </c>
      <c r="G368" s="6">
        <f t="shared" si="84"/>
        <v>1</v>
      </c>
      <c r="H368" s="6" t="b">
        <f t="shared" si="85"/>
        <v>0</v>
      </c>
      <c r="I368" s="6">
        <f t="shared" si="86"/>
        <v>0</v>
      </c>
    </row>
    <row r="369" spans="2:10" ht="17.25" thickBot="1" x14ac:dyDescent="0.35">
      <c r="B369" s="4"/>
      <c r="C369" s="4" t="s">
        <v>264</v>
      </c>
      <c r="D369" s="4"/>
      <c r="E369" s="4" t="s">
        <v>812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265</v>
      </c>
      <c r="E370" s="4" t="s">
        <v>803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4" t="s">
        <v>576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IF(hascolor(E367:E371,$L$5)=TRUE, 1, 0)</f>
        <v>0</v>
      </c>
    </row>
    <row r="372" spans="2:10" ht="17.25" thickBot="1" x14ac:dyDescent="0.35">
      <c r="B372" s="6" t="s">
        <v>69</v>
      </c>
      <c r="C372" s="6" t="s">
        <v>266</v>
      </c>
      <c r="D372" s="6" t="s">
        <v>371</v>
      </c>
      <c r="E372" s="13" t="s">
        <v>813</v>
      </c>
      <c r="F372" s="6" t="b">
        <f t="shared" si="83"/>
        <v>1</v>
      </c>
      <c r="G372" s="6">
        <f t="shared" si="84"/>
        <v>1</v>
      </c>
      <c r="H372" s="6" t="b">
        <f t="shared" si="85"/>
        <v>0</v>
      </c>
      <c r="I372" s="6">
        <f t="shared" si="86"/>
        <v>0</v>
      </c>
    </row>
    <row r="373" spans="2:10" ht="17.25" thickBot="1" x14ac:dyDescent="0.35">
      <c r="B373" s="4"/>
      <c r="C373" s="4" t="s">
        <v>267</v>
      </c>
      <c r="D373" s="4" t="s">
        <v>394</v>
      </c>
      <c r="E373" s="12" t="s">
        <v>814</v>
      </c>
      <c r="F373" s="6" t="b">
        <f t="shared" si="83"/>
        <v>1</v>
      </c>
      <c r="G373" s="6">
        <f t="shared" si="84"/>
        <v>1</v>
      </c>
      <c r="H373" s="6" t="b">
        <f t="shared" si="85"/>
        <v>0</v>
      </c>
      <c r="I373" s="6">
        <f t="shared" si="86"/>
        <v>0</v>
      </c>
    </row>
    <row r="374" spans="2:10" ht="17.25" thickBot="1" x14ac:dyDescent="0.35">
      <c r="B374" s="4"/>
      <c r="C374" s="4" t="s">
        <v>268</v>
      </c>
      <c r="E374" s="4" t="s">
        <v>815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808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4" t="s">
        <v>548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IF(hascolor(E372:E376,$L$5)=TRUE, 1, 0)</f>
        <v>0</v>
      </c>
    </row>
    <row r="377" spans="2:10" ht="17.25" thickBot="1" x14ac:dyDescent="0.35">
      <c r="B377" s="6" t="s">
        <v>70</v>
      </c>
      <c r="C377" s="6" t="s">
        <v>269</v>
      </c>
      <c r="D377" s="6" t="s">
        <v>372</v>
      </c>
      <c r="E377" s="13" t="s">
        <v>816</v>
      </c>
      <c r="F377" s="6" t="b">
        <f t="shared" si="83"/>
        <v>1</v>
      </c>
      <c r="G377" s="6">
        <f t="shared" si="84"/>
        <v>1</v>
      </c>
      <c r="H377" s="6" t="b">
        <f t="shared" si="85"/>
        <v>0</v>
      </c>
      <c r="I377" s="6">
        <f t="shared" si="86"/>
        <v>0</v>
      </c>
    </row>
    <row r="378" spans="2:10" ht="17.25" thickBot="1" x14ac:dyDescent="0.35">
      <c r="B378" s="4"/>
      <c r="C378" s="4" t="s">
        <v>270</v>
      </c>
      <c r="D378" s="4" t="s">
        <v>393</v>
      </c>
      <c r="E378" s="12" t="s">
        <v>817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s="4" t="s">
        <v>818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807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4" t="s">
        <v>512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IF(hascolor(E377:E381,$L$5)=TRUE, 1, 0)</f>
        <v>0</v>
      </c>
    </row>
    <row r="382" spans="2:10" ht="17.25" thickBot="1" x14ac:dyDescent="0.35">
      <c r="B382" s="6" t="s">
        <v>71</v>
      </c>
      <c r="C382" s="6" t="s">
        <v>271</v>
      </c>
      <c r="D382" s="6" t="s">
        <v>373</v>
      </c>
      <c r="E382" s="13" t="s">
        <v>819</v>
      </c>
      <c r="F382" s="6" t="b">
        <f t="shared" si="83"/>
        <v>1</v>
      </c>
      <c r="G382" s="6">
        <f t="shared" si="84"/>
        <v>1</v>
      </c>
      <c r="H382" s="6" t="b">
        <f t="shared" si="85"/>
        <v>0</v>
      </c>
      <c r="I382" s="6">
        <f t="shared" si="86"/>
        <v>0</v>
      </c>
    </row>
    <row r="383" spans="2:10" ht="17.25" thickBot="1" x14ac:dyDescent="0.35">
      <c r="B383" s="4"/>
      <c r="C383" s="4"/>
      <c r="D383" s="4"/>
      <c r="E383" s="4" t="s">
        <v>820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s="4" t="s">
        <v>821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822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4" t="s">
        <v>549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IF(hascolor(E382:E386,$L$5)=TRUE, 1, 0)</f>
        <v>0</v>
      </c>
    </row>
    <row r="387" spans="2:10" ht="17.25" thickBot="1" x14ac:dyDescent="0.35">
      <c r="B387" s="6" t="s">
        <v>9</v>
      </c>
      <c r="C387" s="6" t="s">
        <v>272</v>
      </c>
      <c r="D387" s="6" t="s">
        <v>272</v>
      </c>
      <c r="E387" s="13" t="s">
        <v>823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hascolor(E387,$L$5)</f>
        <v>0</v>
      </c>
      <c r="I387" s="6">
        <f t="shared" ref="I387:I450" si="103">IF(H387, 1, 0)</f>
        <v>0</v>
      </c>
    </row>
    <row r="388" spans="2:10" ht="17.25" thickBot="1" x14ac:dyDescent="0.35">
      <c r="B388" s="4"/>
      <c r="C388" s="4" t="s">
        <v>273</v>
      </c>
      <c r="D388" s="4" t="s">
        <v>392</v>
      </c>
      <c r="E388" s="12" t="s">
        <v>824</v>
      </c>
      <c r="F388" s="6" t="b">
        <f t="shared" si="100"/>
        <v>1</v>
      </c>
      <c r="G388" s="6">
        <f t="shared" si="101"/>
        <v>1</v>
      </c>
      <c r="H388" s="6" t="b">
        <f t="shared" si="102"/>
        <v>0</v>
      </c>
      <c r="I388" s="6">
        <f t="shared" si="103"/>
        <v>0</v>
      </c>
    </row>
    <row r="389" spans="2:10" ht="17.25" thickBot="1" x14ac:dyDescent="0.35">
      <c r="B389" s="4"/>
      <c r="C389" s="4"/>
      <c r="D389" s="4"/>
      <c r="E389" s="4" t="s">
        <v>821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818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4" t="s">
        <v>519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IF(hascolor(E387:E391,$L$5)=TRUE, 1, 0)</f>
        <v>0</v>
      </c>
    </row>
    <row r="392" spans="2:10" ht="17.25" thickBot="1" x14ac:dyDescent="0.35">
      <c r="B392" s="6" t="s">
        <v>10</v>
      </c>
      <c r="C392" s="6" t="s">
        <v>274</v>
      </c>
      <c r="D392" s="6" t="s">
        <v>391</v>
      </c>
      <c r="E392" s="13" t="s">
        <v>818</v>
      </c>
      <c r="F392" s="6" t="b">
        <f t="shared" si="100"/>
        <v>1</v>
      </c>
      <c r="G392" s="6">
        <f t="shared" si="101"/>
        <v>1</v>
      </c>
      <c r="H392" s="6" t="b">
        <f t="shared" si="102"/>
        <v>0</v>
      </c>
      <c r="I392" s="6">
        <f t="shared" si="103"/>
        <v>0</v>
      </c>
    </row>
    <row r="393" spans="2:10" ht="17.25" thickBot="1" x14ac:dyDescent="0.35">
      <c r="B393" s="4"/>
      <c r="C393" s="4" t="s">
        <v>275</v>
      </c>
      <c r="D393" s="4"/>
      <c r="E393" s="4" t="s">
        <v>825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s="4" t="s">
        <v>823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821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4" t="s">
        <v>549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IF(hascolor(E392:E396,$L$5)=TRUE, 1, 0)</f>
        <v>0</v>
      </c>
    </row>
    <row r="397" spans="2:10" ht="17.25" thickBot="1" x14ac:dyDescent="0.35">
      <c r="B397" s="6" t="s">
        <v>11</v>
      </c>
      <c r="C397" s="6" t="s">
        <v>276</v>
      </c>
      <c r="D397" s="6" t="s">
        <v>382</v>
      </c>
      <c r="E397" s="13" t="s">
        <v>826</v>
      </c>
      <c r="F397" s="6" t="b">
        <f t="shared" si="100"/>
        <v>1</v>
      </c>
      <c r="G397" s="6">
        <f t="shared" si="101"/>
        <v>1</v>
      </c>
      <c r="H397" s="6" t="b">
        <f t="shared" si="102"/>
        <v>0</v>
      </c>
      <c r="I397" s="6">
        <f t="shared" si="103"/>
        <v>0</v>
      </c>
    </row>
    <row r="398" spans="2:10" ht="17.25" thickBot="1" x14ac:dyDescent="0.35">
      <c r="B398" s="4"/>
      <c r="C398" s="4" t="s">
        <v>462</v>
      </c>
      <c r="D398" s="4"/>
      <c r="E398" s="4" t="s">
        <v>827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461</v>
      </c>
      <c r="D399" s="4"/>
      <c r="E399" s="4" t="s">
        <v>828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829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3" ht="17.25" thickBot="1" x14ac:dyDescent="0.35">
      <c r="B401" s="5"/>
      <c r="C401" s="5"/>
      <c r="D401" s="5"/>
      <c r="E401" s="4" t="s">
        <v>517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IF(hascolor(E397:E401,$L$5)=TRUE, 1, 0)</f>
        <v>0</v>
      </c>
      <c r="K401">
        <f>SUM(J352:J401)</f>
        <v>0</v>
      </c>
      <c r="M401">
        <f>SUM(I352:I401)</f>
        <v>0</v>
      </c>
    </row>
    <row r="402" spans="1:13" ht="17.25" thickBot="1" x14ac:dyDescent="0.35">
      <c r="A402" s="2" t="s">
        <v>115</v>
      </c>
      <c r="B402" s="6" t="s">
        <v>14</v>
      </c>
      <c r="C402" s="6" t="s">
        <v>277</v>
      </c>
      <c r="D402" s="6" t="s">
        <v>374</v>
      </c>
      <c r="E402" s="13" t="s">
        <v>830</v>
      </c>
      <c r="F402" s="6" t="b">
        <f t="shared" si="100"/>
        <v>1</v>
      </c>
      <c r="G402" s="6">
        <f t="shared" si="101"/>
        <v>1</v>
      </c>
      <c r="H402" s="6" t="b">
        <f t="shared" si="102"/>
        <v>0</v>
      </c>
      <c r="I402" s="6">
        <f t="shared" si="103"/>
        <v>0</v>
      </c>
    </row>
    <row r="403" spans="1:13" ht="17.25" thickBot="1" x14ac:dyDescent="0.35">
      <c r="B403" s="4"/>
      <c r="C403" s="4" t="s">
        <v>278</v>
      </c>
      <c r="D403" s="4" t="s">
        <v>383</v>
      </c>
      <c r="E403" s="4" t="s">
        <v>831</v>
      </c>
      <c r="F403" s="6" t="b">
        <f t="shared" si="100"/>
        <v>1</v>
      </c>
      <c r="G403" s="6">
        <f t="shared" si="101"/>
        <v>1</v>
      </c>
      <c r="H403" s="6" t="b">
        <f t="shared" si="102"/>
        <v>0</v>
      </c>
      <c r="I403" s="6">
        <f t="shared" si="103"/>
        <v>0</v>
      </c>
    </row>
    <row r="404" spans="1:13" ht="17.25" thickBot="1" x14ac:dyDescent="0.35">
      <c r="B404" s="4"/>
      <c r="C404" s="4" t="s">
        <v>460</v>
      </c>
      <c r="E404" s="4" t="s">
        <v>832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3" ht="17.25" thickBot="1" x14ac:dyDescent="0.35">
      <c r="B405" s="4"/>
      <c r="C405" s="4"/>
      <c r="D405" s="4"/>
      <c r="E405" s="4" t="s">
        <v>833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3" ht="17.25" thickBot="1" x14ac:dyDescent="0.35">
      <c r="B406" s="5"/>
      <c r="C406" s="5"/>
      <c r="D406" s="5"/>
      <c r="E406" s="12" t="s">
        <v>550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IF(hascolor(E402:E406,$L$5)=TRUE, 1, 0)</f>
        <v>0</v>
      </c>
    </row>
    <row r="407" spans="1:13" ht="17.25" thickBot="1" x14ac:dyDescent="0.35">
      <c r="B407" s="6" t="s">
        <v>15</v>
      </c>
      <c r="C407" s="6" t="s">
        <v>279</v>
      </c>
      <c r="D407" s="6" t="s">
        <v>381</v>
      </c>
      <c r="E407" s="13" t="s">
        <v>834</v>
      </c>
      <c r="F407" s="6" t="b">
        <f t="shared" si="100"/>
        <v>1</v>
      </c>
      <c r="G407" s="6">
        <f t="shared" si="101"/>
        <v>1</v>
      </c>
      <c r="H407" s="6" t="b">
        <f t="shared" si="102"/>
        <v>0</v>
      </c>
      <c r="I407" s="6">
        <f t="shared" si="103"/>
        <v>0</v>
      </c>
    </row>
    <row r="408" spans="1:13" ht="17.25" thickBot="1" x14ac:dyDescent="0.35">
      <c r="B408" s="4"/>
      <c r="C408" s="4" t="s">
        <v>379</v>
      </c>
      <c r="D408" s="4" t="s">
        <v>379</v>
      </c>
      <c r="E408" s="4" t="s">
        <v>835</v>
      </c>
      <c r="F408" s="6" t="b">
        <f t="shared" si="100"/>
        <v>1</v>
      </c>
      <c r="G408" s="6">
        <f t="shared" si="101"/>
        <v>1</v>
      </c>
      <c r="H408" s="6" t="b">
        <f t="shared" si="102"/>
        <v>0</v>
      </c>
      <c r="I408" s="6">
        <f t="shared" si="103"/>
        <v>0</v>
      </c>
    </row>
    <row r="409" spans="1:13" ht="17.25" thickBot="1" x14ac:dyDescent="0.35">
      <c r="B409" s="4"/>
      <c r="C409" s="4"/>
      <c r="D409" s="4"/>
      <c r="E409" s="12" t="s">
        <v>836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3" ht="17.25" thickBot="1" x14ac:dyDescent="0.35">
      <c r="B410" s="4"/>
      <c r="C410" s="4"/>
      <c r="D410" s="4"/>
      <c r="E410" s="4" t="s">
        <v>837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3" ht="17.25" thickBot="1" x14ac:dyDescent="0.35">
      <c r="B411" s="5"/>
      <c r="C411" s="5"/>
      <c r="D411" s="5"/>
      <c r="E411" s="4" t="s">
        <v>551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IF(hascolor(E407:E411,$L$5)=TRUE, 1, 0)</f>
        <v>0</v>
      </c>
    </row>
    <row r="412" spans="1:13" ht="17.25" thickBot="1" x14ac:dyDescent="0.35">
      <c r="B412" s="6" t="s">
        <v>72</v>
      </c>
      <c r="C412" s="6" t="s">
        <v>280</v>
      </c>
      <c r="D412" s="6" t="s">
        <v>380</v>
      </c>
      <c r="E412" s="13" t="s">
        <v>838</v>
      </c>
      <c r="F412" s="6" t="b">
        <f t="shared" si="100"/>
        <v>1</v>
      </c>
      <c r="G412" s="6">
        <f t="shared" si="101"/>
        <v>1</v>
      </c>
      <c r="H412" s="6" t="b">
        <f t="shared" si="102"/>
        <v>0</v>
      </c>
      <c r="I412" s="6">
        <f t="shared" si="103"/>
        <v>0</v>
      </c>
    </row>
    <row r="413" spans="1:13" ht="17.25" thickBot="1" x14ac:dyDescent="0.35">
      <c r="B413" s="4"/>
      <c r="C413" s="4" t="s">
        <v>384</v>
      </c>
      <c r="D413" s="4" t="s">
        <v>384</v>
      </c>
      <c r="E413" s="12" t="s">
        <v>839</v>
      </c>
      <c r="F413" s="6" t="b">
        <f t="shared" si="100"/>
        <v>1</v>
      </c>
      <c r="G413" s="6">
        <f t="shared" si="101"/>
        <v>1</v>
      </c>
      <c r="H413" s="6" t="b">
        <f t="shared" si="102"/>
        <v>0</v>
      </c>
      <c r="I413" s="6">
        <f t="shared" si="103"/>
        <v>0</v>
      </c>
    </row>
    <row r="414" spans="1:13" ht="17.25" thickBot="1" x14ac:dyDescent="0.35">
      <c r="B414" s="4"/>
      <c r="C414" s="4"/>
      <c r="D414" s="4"/>
      <c r="E414" s="4" t="s">
        <v>840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3" ht="17.25" thickBot="1" x14ac:dyDescent="0.35">
      <c r="B415" s="4"/>
      <c r="C415" s="4"/>
      <c r="D415" s="4"/>
      <c r="E415" s="4" t="s">
        <v>841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3" ht="17.25" thickBot="1" x14ac:dyDescent="0.35">
      <c r="B416" s="5"/>
      <c r="C416" s="5"/>
      <c r="D416" s="5"/>
      <c r="E416" s="4" t="s">
        <v>552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IF(hascolor(E412:E416,$L$5)=TRUE, 1, 0)</f>
        <v>0</v>
      </c>
    </row>
    <row r="417" spans="2:10" ht="17.25" thickBot="1" x14ac:dyDescent="0.35">
      <c r="B417" s="6" t="s">
        <v>73</v>
      </c>
      <c r="C417" s="6" t="s">
        <v>281</v>
      </c>
      <c r="D417" s="6" t="s">
        <v>375</v>
      </c>
      <c r="E417" s="13" t="s">
        <v>842</v>
      </c>
      <c r="F417" s="6" t="b">
        <f t="shared" si="100"/>
        <v>1</v>
      </c>
      <c r="G417" s="6">
        <f t="shared" si="101"/>
        <v>1</v>
      </c>
      <c r="H417" s="6" t="b">
        <f t="shared" si="102"/>
        <v>0</v>
      </c>
      <c r="I417" s="6">
        <f t="shared" si="103"/>
        <v>0</v>
      </c>
    </row>
    <row r="418" spans="2:10" ht="17.25" thickBot="1" x14ac:dyDescent="0.35">
      <c r="B418" s="4"/>
      <c r="C418" s="4" t="s">
        <v>385</v>
      </c>
      <c r="D418" s="4" t="s">
        <v>385</v>
      </c>
      <c r="E418" s="4" t="s">
        <v>843</v>
      </c>
      <c r="F418" s="6" t="b">
        <f t="shared" si="100"/>
        <v>1</v>
      </c>
      <c r="G418" s="6">
        <f t="shared" si="101"/>
        <v>1</v>
      </c>
      <c r="H418" s="6" t="b">
        <f t="shared" si="102"/>
        <v>0</v>
      </c>
      <c r="I418" s="6">
        <f t="shared" si="103"/>
        <v>0</v>
      </c>
    </row>
    <row r="419" spans="2:10" ht="17.25" thickBot="1" x14ac:dyDescent="0.35">
      <c r="B419" s="4"/>
      <c r="C419" s="4"/>
      <c r="D419" s="4"/>
      <c r="E419" s="4" t="s">
        <v>844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12" t="s">
        <v>845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4" t="s">
        <v>553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IF(hascolor(E417:E421,$L$5)=TRUE, 1, 0)</f>
        <v>0</v>
      </c>
    </row>
    <row r="422" spans="2:10" ht="17.25" thickBot="1" x14ac:dyDescent="0.35">
      <c r="B422" s="6" t="s">
        <v>74</v>
      </c>
      <c r="C422" s="6" t="s">
        <v>282</v>
      </c>
      <c r="D422" s="6" t="s">
        <v>376</v>
      </c>
      <c r="E422" s="6" t="s">
        <v>846</v>
      </c>
      <c r="F422" s="6" t="b">
        <f t="shared" si="100"/>
        <v>1</v>
      </c>
      <c r="G422" s="6">
        <f t="shared" si="101"/>
        <v>1</v>
      </c>
      <c r="H422" s="6" t="b">
        <f t="shared" si="102"/>
        <v>0</v>
      </c>
      <c r="I422" s="6">
        <f t="shared" si="103"/>
        <v>0</v>
      </c>
    </row>
    <row r="423" spans="2:10" ht="17.25" thickBot="1" x14ac:dyDescent="0.35">
      <c r="B423" s="4"/>
      <c r="C423" s="4" t="s">
        <v>283</v>
      </c>
      <c r="D423" s="4" t="s">
        <v>386</v>
      </c>
      <c r="E423" s="12" t="s">
        <v>847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284</v>
      </c>
      <c r="D424" s="4"/>
      <c r="E424" s="4" t="s">
        <v>848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459</v>
      </c>
      <c r="E425" s="4" t="s">
        <v>849</v>
      </c>
      <c r="F425" s="6" t="b">
        <f t="shared" si="100"/>
        <v>0</v>
      </c>
      <c r="G425" s="6">
        <f t="shared" si="101"/>
        <v>0</v>
      </c>
      <c r="H425" s="6" t="b">
        <f t="shared" si="102"/>
        <v>0</v>
      </c>
      <c r="I425" s="6">
        <f t="shared" si="103"/>
        <v>0</v>
      </c>
    </row>
    <row r="426" spans="2:10" ht="17.25" thickBot="1" x14ac:dyDescent="0.35">
      <c r="B426" s="5"/>
      <c r="C426" s="5"/>
      <c r="D426" s="5"/>
      <c r="E426" s="4" t="s">
        <v>577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IF(hascolor(E422:E426,$L$5)=TRUE, 1, 0)</f>
        <v>0</v>
      </c>
    </row>
    <row r="427" spans="2:10" ht="17.25" thickBot="1" x14ac:dyDescent="0.35">
      <c r="B427" s="6" t="s">
        <v>75</v>
      </c>
      <c r="C427" s="6" t="s">
        <v>285</v>
      </c>
      <c r="D427" s="6" t="s">
        <v>377</v>
      </c>
      <c r="E427" s="13" t="s">
        <v>850</v>
      </c>
      <c r="F427" s="6" t="b">
        <f t="shared" si="100"/>
        <v>1</v>
      </c>
      <c r="G427" s="6">
        <f t="shared" si="101"/>
        <v>1</v>
      </c>
      <c r="H427" s="6" t="b">
        <f t="shared" si="102"/>
        <v>0</v>
      </c>
      <c r="I427" s="6">
        <f t="shared" si="103"/>
        <v>0</v>
      </c>
    </row>
    <row r="428" spans="2:10" ht="17.25" thickBot="1" x14ac:dyDescent="0.35">
      <c r="B428" s="4"/>
      <c r="C428" s="4" t="s">
        <v>286</v>
      </c>
      <c r="D428" s="4"/>
      <c r="E428" s="4" t="s">
        <v>849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287</v>
      </c>
      <c r="D429" s="4"/>
      <c r="E429" s="4" t="s">
        <v>851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852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4" t="s">
        <v>578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IF(hascolor(E427:E431,$L$5)=TRUE, 1, 0)</f>
        <v>0</v>
      </c>
    </row>
    <row r="432" spans="2:10" ht="17.25" thickBot="1" x14ac:dyDescent="0.35">
      <c r="B432" s="6" t="s">
        <v>76</v>
      </c>
      <c r="C432" s="6" t="s">
        <v>458</v>
      </c>
      <c r="D432" s="6" t="s">
        <v>387</v>
      </c>
      <c r="E432" s="6" t="s">
        <v>853</v>
      </c>
      <c r="F432" s="6" t="b">
        <f t="shared" si="100"/>
        <v>1</v>
      </c>
      <c r="G432" s="6">
        <f t="shared" si="101"/>
        <v>1</v>
      </c>
      <c r="H432" s="6" t="b">
        <f t="shared" si="102"/>
        <v>0</v>
      </c>
      <c r="I432" s="6">
        <f t="shared" si="103"/>
        <v>0</v>
      </c>
    </row>
    <row r="433" spans="2:10" ht="17.25" thickBot="1" x14ac:dyDescent="0.35">
      <c r="B433" s="4"/>
      <c r="C433" s="4" t="s">
        <v>457</v>
      </c>
      <c r="D433" s="4"/>
      <c r="E433" s="4" t="s">
        <v>854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s="12" t="s">
        <v>855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844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4" t="s">
        <v>518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IF(hascolor(E432:E436,$L$5)=TRUE, 1, 0)</f>
        <v>0</v>
      </c>
    </row>
    <row r="437" spans="2:10" ht="17.25" thickBot="1" x14ac:dyDescent="0.35">
      <c r="B437" s="6" t="s">
        <v>77</v>
      </c>
      <c r="C437" s="6" t="s">
        <v>288</v>
      </c>
      <c r="D437" s="6" t="s">
        <v>378</v>
      </c>
      <c r="E437" s="13" t="s">
        <v>856</v>
      </c>
      <c r="F437" s="6" t="b">
        <f t="shared" si="100"/>
        <v>1</v>
      </c>
      <c r="G437" s="6">
        <f t="shared" si="101"/>
        <v>1</v>
      </c>
      <c r="H437" s="6" t="b">
        <f t="shared" si="102"/>
        <v>0</v>
      </c>
      <c r="I437" s="6">
        <f t="shared" si="103"/>
        <v>0</v>
      </c>
    </row>
    <row r="438" spans="2:10" ht="17.25" thickBot="1" x14ac:dyDescent="0.35">
      <c r="B438" s="4"/>
      <c r="C438" s="4" t="s">
        <v>289</v>
      </c>
      <c r="D438" s="4" t="s">
        <v>388</v>
      </c>
      <c r="E438" s="12" t="s">
        <v>857</v>
      </c>
      <c r="F438" s="6" t="b">
        <f t="shared" si="100"/>
        <v>1</v>
      </c>
      <c r="G438" s="6">
        <f t="shared" si="101"/>
        <v>1</v>
      </c>
      <c r="H438" s="6" t="b">
        <f t="shared" si="102"/>
        <v>0</v>
      </c>
      <c r="I438" s="6">
        <f t="shared" si="103"/>
        <v>0</v>
      </c>
    </row>
    <row r="439" spans="2:10" ht="17.25" thickBot="1" x14ac:dyDescent="0.35">
      <c r="B439" s="4"/>
      <c r="C439" s="4" t="s">
        <v>456</v>
      </c>
      <c r="E439" s="4" t="s">
        <v>858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859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4" t="s">
        <v>513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IF(hascolor(E437:E441,$L$5)=TRUE, 1, 0)</f>
        <v>0</v>
      </c>
    </row>
    <row r="442" spans="2:10" ht="17.25" thickBot="1" x14ac:dyDescent="0.35">
      <c r="B442" s="6" t="s">
        <v>78</v>
      </c>
      <c r="C442" s="6" t="s">
        <v>455</v>
      </c>
      <c r="D442" s="6" t="s">
        <v>389</v>
      </c>
      <c r="E442" s="13" t="s">
        <v>860</v>
      </c>
      <c r="F442" s="6" t="b">
        <f t="shared" si="100"/>
        <v>1</v>
      </c>
      <c r="G442" s="6">
        <f t="shared" si="101"/>
        <v>1</v>
      </c>
      <c r="H442" s="6" t="b">
        <f t="shared" si="102"/>
        <v>0</v>
      </c>
      <c r="I442" s="6">
        <f t="shared" si="103"/>
        <v>0</v>
      </c>
    </row>
    <row r="443" spans="2:10" ht="17.25" thickBot="1" x14ac:dyDescent="0.35">
      <c r="B443" s="4"/>
      <c r="C443" s="4"/>
      <c r="D443" s="4"/>
      <c r="E443" s="4" t="s">
        <v>861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s="4" t="s">
        <v>862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863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4" t="s">
        <v>579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IF(hascolor(E442:E446,$L$5)=TRUE, 1, 0)</f>
        <v>0</v>
      </c>
    </row>
    <row r="447" spans="2:10" ht="17.25" thickBot="1" x14ac:dyDescent="0.35">
      <c r="B447" s="6" t="s">
        <v>79</v>
      </c>
      <c r="C447" s="6" t="s">
        <v>454</v>
      </c>
      <c r="D447" s="6" t="s">
        <v>390</v>
      </c>
      <c r="E447" s="13" t="s">
        <v>864</v>
      </c>
      <c r="F447" s="6" t="b">
        <f t="shared" si="100"/>
        <v>1</v>
      </c>
      <c r="G447" s="6">
        <f t="shared" si="101"/>
        <v>1</v>
      </c>
      <c r="H447" s="6" t="b">
        <f t="shared" si="102"/>
        <v>0</v>
      </c>
      <c r="I447" s="6">
        <f t="shared" si="103"/>
        <v>0</v>
      </c>
    </row>
    <row r="448" spans="2:10" ht="17.25" thickBot="1" x14ac:dyDescent="0.35">
      <c r="B448" s="4"/>
      <c r="C448" s="4"/>
      <c r="D448" s="4"/>
      <c r="E448" s="4" t="s">
        <v>865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3" ht="17.25" thickBot="1" x14ac:dyDescent="0.35">
      <c r="B449" s="4"/>
      <c r="C449" s="4"/>
      <c r="D449" s="4"/>
      <c r="E449" s="4" t="s">
        <v>866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3" ht="17.25" thickBot="1" x14ac:dyDescent="0.35">
      <c r="B450" s="4"/>
      <c r="C450" s="4"/>
      <c r="D450" s="4"/>
      <c r="E450" s="4" t="s">
        <v>867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3" ht="17.25" thickBot="1" x14ac:dyDescent="0.35">
      <c r="B451" s="5"/>
      <c r="C451" s="5"/>
      <c r="D451" s="5"/>
      <c r="E451" s="4" t="s">
        <v>554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1" si="118">hascolor(E451,$L$5)</f>
        <v>0</v>
      </c>
      <c r="I451" s="6">
        <f t="shared" ref="I451:I501" si="119">IF(H451, 1, 0)</f>
        <v>0</v>
      </c>
      <c r="J451">
        <f t="shared" ref="J451" si="120">IF(hascolor(E447:E451,$L$5)=TRUE, 1, 0)</f>
        <v>0</v>
      </c>
      <c r="K451">
        <f>SUM(J402:J451)</f>
        <v>0</v>
      </c>
      <c r="M451">
        <f>SUM(I402:I451)</f>
        <v>0</v>
      </c>
    </row>
    <row r="452" spans="1:13" ht="17.25" thickBot="1" x14ac:dyDescent="0.35">
      <c r="A452" s="2" t="s">
        <v>116</v>
      </c>
      <c r="B452" s="6" t="s">
        <v>80</v>
      </c>
      <c r="C452" s="6" t="s">
        <v>442</v>
      </c>
      <c r="D452" s="6" t="s">
        <v>399</v>
      </c>
      <c r="E452" s="13" t="s">
        <v>868</v>
      </c>
      <c r="F452" s="6" t="b">
        <f t="shared" si="116"/>
        <v>1</v>
      </c>
      <c r="G452" s="6">
        <f t="shared" si="117"/>
        <v>1</v>
      </c>
      <c r="H452" s="6" t="b">
        <f t="shared" si="118"/>
        <v>0</v>
      </c>
      <c r="I452" s="6">
        <f t="shared" si="119"/>
        <v>0</v>
      </c>
    </row>
    <row r="453" spans="1:13" ht="17.25" thickBot="1" x14ac:dyDescent="0.35">
      <c r="B453" s="4"/>
      <c r="C453" s="4" t="s">
        <v>443</v>
      </c>
      <c r="D453" s="4" t="s">
        <v>412</v>
      </c>
      <c r="E453" s="4" t="s">
        <v>869</v>
      </c>
      <c r="F453" s="6" t="b">
        <f t="shared" si="116"/>
        <v>1</v>
      </c>
      <c r="G453" s="6">
        <f t="shared" si="117"/>
        <v>1</v>
      </c>
      <c r="H453" s="6" t="b">
        <f t="shared" si="118"/>
        <v>0</v>
      </c>
      <c r="I453" s="6">
        <f t="shared" si="119"/>
        <v>0</v>
      </c>
    </row>
    <row r="454" spans="1:13" ht="17.25" thickBot="1" x14ac:dyDescent="0.35">
      <c r="B454" s="4"/>
      <c r="C454" s="4" t="s">
        <v>452</v>
      </c>
      <c r="E454" s="12" t="s">
        <v>870</v>
      </c>
      <c r="F454" s="6" t="b">
        <f t="shared" si="116"/>
        <v>0</v>
      </c>
      <c r="G454" s="6">
        <f t="shared" si="117"/>
        <v>0</v>
      </c>
      <c r="H454" s="6" t="b">
        <f t="shared" si="118"/>
        <v>0</v>
      </c>
      <c r="I454" s="6">
        <f t="shared" si="119"/>
        <v>0</v>
      </c>
    </row>
    <row r="455" spans="1:13" ht="17.25" thickBot="1" x14ac:dyDescent="0.35">
      <c r="B455" s="4"/>
      <c r="C455" s="4" t="s">
        <v>453</v>
      </c>
      <c r="D455" s="4"/>
      <c r="E455" s="4" t="s">
        <v>871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3" ht="17.25" thickBot="1" x14ac:dyDescent="0.35">
      <c r="B456" s="5"/>
      <c r="C456" s="5"/>
      <c r="D456" s="5"/>
      <c r="E456" s="4" t="s">
        <v>466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IF(hascolor(E452:E456,$L$5)=TRUE, 1, 0)</f>
        <v>0</v>
      </c>
    </row>
    <row r="457" spans="1:13" ht="17.25" thickBot="1" x14ac:dyDescent="0.35">
      <c r="B457" s="6" t="s">
        <v>81</v>
      </c>
      <c r="C457" s="6" t="s">
        <v>444</v>
      </c>
      <c r="D457" s="6" t="s">
        <v>400</v>
      </c>
      <c r="E457" s="13" t="s">
        <v>872</v>
      </c>
      <c r="F457" s="6" t="b">
        <f t="shared" si="116"/>
        <v>1</v>
      </c>
      <c r="G457" s="6">
        <f t="shared" si="117"/>
        <v>1</v>
      </c>
      <c r="H457" s="6" t="b">
        <f t="shared" si="118"/>
        <v>0</v>
      </c>
      <c r="I457" s="6">
        <f t="shared" si="119"/>
        <v>0</v>
      </c>
    </row>
    <row r="458" spans="1:13" ht="17.25" thickBot="1" x14ac:dyDescent="0.35">
      <c r="B458" s="4"/>
      <c r="C458" s="4" t="s">
        <v>445</v>
      </c>
      <c r="D458" s="4"/>
      <c r="E458" s="4" t="s">
        <v>868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3" ht="17.25" thickBot="1" x14ac:dyDescent="0.35">
      <c r="B459" s="4"/>
      <c r="C459" s="4" t="s">
        <v>446</v>
      </c>
      <c r="D459" s="4"/>
      <c r="E459" s="4" t="s">
        <v>870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3" ht="17.25" thickBot="1" x14ac:dyDescent="0.35">
      <c r="B460" s="4"/>
      <c r="C460" s="4" t="s">
        <v>447</v>
      </c>
      <c r="D460" s="4"/>
      <c r="E460" s="4" t="s">
        <v>873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3" ht="17.25" thickBot="1" x14ac:dyDescent="0.35">
      <c r="B461" s="5"/>
      <c r="C461" s="5"/>
      <c r="D461" s="5"/>
      <c r="E461" s="4" t="s">
        <v>464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IF(hascolor(E457:E461,$L$5)=TRUE, 1, 0)</f>
        <v>0</v>
      </c>
    </row>
    <row r="462" spans="1:13" ht="17.25" thickBot="1" x14ac:dyDescent="0.35">
      <c r="B462" s="6" t="s">
        <v>82</v>
      </c>
      <c r="C462" s="6" t="s">
        <v>448</v>
      </c>
      <c r="D462" s="6" t="s">
        <v>401</v>
      </c>
      <c r="E462" s="13" t="s">
        <v>874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3" ht="17.25" thickBot="1" x14ac:dyDescent="0.35">
      <c r="B463" s="4"/>
      <c r="C463" s="4"/>
      <c r="D463" s="4"/>
      <c r="E463" s="4" t="s">
        <v>873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3" ht="17.25" thickBot="1" x14ac:dyDescent="0.35">
      <c r="B464" s="4"/>
      <c r="C464" s="4"/>
      <c r="D464" s="4"/>
      <c r="E464" s="4" t="s">
        <v>875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9"/>
        <v>0</v>
      </c>
    </row>
    <row r="465" spans="2:10" ht="17.25" thickBot="1" x14ac:dyDescent="0.35">
      <c r="B465" s="4"/>
      <c r="C465" s="4"/>
      <c r="D465" s="4"/>
      <c r="E465" s="4" t="s">
        <v>876</v>
      </c>
      <c r="F465" s="6" t="b">
        <f t="shared" si="116"/>
        <v>0</v>
      </c>
      <c r="G465" s="6">
        <f t="shared" si="117"/>
        <v>0</v>
      </c>
      <c r="H465" s="6" t="b">
        <f t="shared" si="118"/>
        <v>0</v>
      </c>
      <c r="I465" s="6">
        <f t="shared" si="119"/>
        <v>0</v>
      </c>
    </row>
    <row r="466" spans="2:10" ht="17.25" thickBot="1" x14ac:dyDescent="0.35">
      <c r="B466" s="5"/>
      <c r="C466" s="5"/>
      <c r="D466" s="5"/>
      <c r="E466" s="4" t="s">
        <v>477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IF(hascolor(E462:E466,$L$5)=TRUE, 1, 0)</f>
        <v>0</v>
      </c>
    </row>
    <row r="467" spans="2:10" ht="17.25" thickBot="1" x14ac:dyDescent="0.35">
      <c r="B467" s="6" t="s">
        <v>83</v>
      </c>
      <c r="C467" s="6" t="s">
        <v>449</v>
      </c>
      <c r="D467" s="6" t="s">
        <v>402</v>
      </c>
      <c r="E467" s="13" t="s">
        <v>877</v>
      </c>
      <c r="F467" s="6" t="b">
        <f t="shared" si="116"/>
        <v>1</v>
      </c>
      <c r="G467" s="6">
        <f t="shared" si="117"/>
        <v>1</v>
      </c>
      <c r="H467" s="6" t="b">
        <f t="shared" si="118"/>
        <v>0</v>
      </c>
      <c r="I467" s="6">
        <f t="shared" si="119"/>
        <v>0</v>
      </c>
    </row>
    <row r="468" spans="2:10" ht="17.25" thickBot="1" x14ac:dyDescent="0.35">
      <c r="B468" s="4"/>
      <c r="C468" s="4" t="s">
        <v>450</v>
      </c>
      <c r="D468" s="4" t="s">
        <v>403</v>
      </c>
      <c r="E468" s="4" t="s">
        <v>868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s="12" t="s">
        <v>873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875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4" t="s">
        <v>555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IF(hascolor(E467:E471,$L$5)=TRUE, 1, 0)</f>
        <v>0</v>
      </c>
    </row>
    <row r="472" spans="2:10" ht="17.25" thickBot="1" x14ac:dyDescent="0.35">
      <c r="B472" s="6" t="s">
        <v>84</v>
      </c>
      <c r="C472" s="6" t="s">
        <v>442</v>
      </c>
      <c r="D472" s="6" t="s">
        <v>404</v>
      </c>
      <c r="E472" s="13" t="s">
        <v>868</v>
      </c>
      <c r="F472" s="6" t="b">
        <f t="shared" si="116"/>
        <v>1</v>
      </c>
      <c r="G472" s="6">
        <f t="shared" si="117"/>
        <v>1</v>
      </c>
      <c r="H472" s="6" t="b">
        <f t="shared" si="118"/>
        <v>0</v>
      </c>
      <c r="I472" s="6">
        <f t="shared" si="119"/>
        <v>0</v>
      </c>
    </row>
    <row r="473" spans="2:10" ht="17.25" thickBot="1" x14ac:dyDescent="0.35">
      <c r="B473" s="4"/>
      <c r="C473" s="4" t="s">
        <v>452</v>
      </c>
      <c r="D473" s="4" t="s">
        <v>412</v>
      </c>
      <c r="E473" s="12" t="s">
        <v>870</v>
      </c>
      <c r="F473" s="6" t="b">
        <f t="shared" si="116"/>
        <v>1</v>
      </c>
      <c r="G473" s="6">
        <f t="shared" si="117"/>
        <v>1</v>
      </c>
      <c r="H473" s="6" t="b">
        <f t="shared" si="118"/>
        <v>0</v>
      </c>
      <c r="I473" s="6">
        <f t="shared" si="119"/>
        <v>0</v>
      </c>
    </row>
    <row r="474" spans="2:10" ht="17.25" thickBot="1" x14ac:dyDescent="0.35">
      <c r="B474" s="4"/>
      <c r="C474" s="4"/>
      <c r="D474" s="4"/>
      <c r="E474" s="4" t="s">
        <v>869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873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4" t="s">
        <v>465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IF(hascolor(E472:E476,$L$5)=TRUE, 1, 0)</f>
        <v>0</v>
      </c>
    </row>
    <row r="477" spans="2:10" ht="17.25" thickBot="1" x14ac:dyDescent="0.35">
      <c r="B477" s="6" t="s">
        <v>85</v>
      </c>
      <c r="C477" s="6" t="s">
        <v>451</v>
      </c>
      <c r="D477" s="6" t="s">
        <v>403</v>
      </c>
      <c r="E477" s="13" t="s">
        <v>877</v>
      </c>
      <c r="F477" s="6" t="b">
        <f t="shared" si="116"/>
        <v>1</v>
      </c>
      <c r="G477" s="6">
        <f t="shared" si="117"/>
        <v>1</v>
      </c>
      <c r="H477" s="6" t="b">
        <f t="shared" si="118"/>
        <v>0</v>
      </c>
      <c r="I477" s="6">
        <f t="shared" si="119"/>
        <v>0</v>
      </c>
    </row>
    <row r="478" spans="2:10" ht="17.25" thickBot="1" x14ac:dyDescent="0.35">
      <c r="B478" s="4"/>
      <c r="C478" s="4" t="s">
        <v>450</v>
      </c>
      <c r="D478" s="4" t="s">
        <v>403</v>
      </c>
      <c r="E478" s="4" t="s">
        <v>878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s="4" t="s">
        <v>868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873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4" t="s">
        <v>477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IF(hascolor(E477:E481,$L$5)=TRUE, 1, 0)</f>
        <v>0</v>
      </c>
    </row>
    <row r="482" spans="2:10" ht="17.25" thickBot="1" x14ac:dyDescent="0.35">
      <c r="B482" s="6" t="s">
        <v>86</v>
      </c>
      <c r="C482" s="6" t="s">
        <v>290</v>
      </c>
      <c r="D482" s="6" t="s">
        <v>405</v>
      </c>
      <c r="E482" s="13" t="s">
        <v>879</v>
      </c>
      <c r="F482" s="6" t="b">
        <f t="shared" si="116"/>
        <v>1</v>
      </c>
      <c r="G482" s="6">
        <f t="shared" si="117"/>
        <v>1</v>
      </c>
      <c r="H482" s="6" t="b">
        <f t="shared" si="118"/>
        <v>0</v>
      </c>
      <c r="I482" s="6">
        <f t="shared" si="119"/>
        <v>0</v>
      </c>
    </row>
    <row r="483" spans="2:10" ht="17.25" thickBot="1" x14ac:dyDescent="0.35">
      <c r="B483" s="4"/>
      <c r="C483" s="4" t="s">
        <v>291</v>
      </c>
      <c r="D483" s="4" t="s">
        <v>406</v>
      </c>
      <c r="E483" s="12" t="s">
        <v>880</v>
      </c>
      <c r="F483" s="6" t="b">
        <f t="shared" si="116"/>
        <v>1</v>
      </c>
      <c r="G483" s="6">
        <f t="shared" si="117"/>
        <v>1</v>
      </c>
      <c r="H483" s="6" t="b">
        <f t="shared" si="118"/>
        <v>0</v>
      </c>
      <c r="I483" s="6">
        <f t="shared" si="119"/>
        <v>0</v>
      </c>
    </row>
    <row r="484" spans="2:10" ht="17.25" thickBot="1" x14ac:dyDescent="0.35">
      <c r="B484" s="4"/>
      <c r="C484" s="4"/>
      <c r="D484" s="4"/>
      <c r="E484" s="4" t="s">
        <v>871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873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4" t="s">
        <v>464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IF(hascolor(E482:E486,$L$5)=TRUE, 1, 0)</f>
        <v>0</v>
      </c>
    </row>
    <row r="487" spans="2:10" ht="17.25" thickBot="1" x14ac:dyDescent="0.35">
      <c r="B487" s="6" t="s">
        <v>87</v>
      </c>
      <c r="C487" s="6" t="s">
        <v>297</v>
      </c>
      <c r="D487" s="6" t="s">
        <v>407</v>
      </c>
      <c r="E487" s="13" t="s">
        <v>881</v>
      </c>
      <c r="F487" s="6" t="b">
        <f t="shared" si="116"/>
        <v>1</v>
      </c>
      <c r="G487" s="6">
        <f t="shared" si="117"/>
        <v>1</v>
      </c>
      <c r="H487" s="6" t="b">
        <f t="shared" si="118"/>
        <v>0</v>
      </c>
      <c r="I487" s="6">
        <f t="shared" si="119"/>
        <v>0</v>
      </c>
    </row>
    <row r="488" spans="2:10" ht="17.25" thickBot="1" x14ac:dyDescent="0.35">
      <c r="B488" s="4"/>
      <c r="C488" s="4" t="s">
        <v>298</v>
      </c>
      <c r="D488" s="4" t="s">
        <v>408</v>
      </c>
      <c r="E488" s="12" t="s">
        <v>882</v>
      </c>
      <c r="F488" s="6" t="b">
        <f t="shared" si="116"/>
        <v>1</v>
      </c>
      <c r="G488" s="6">
        <f t="shared" si="117"/>
        <v>1</v>
      </c>
      <c r="H488" s="6" t="b">
        <f t="shared" si="118"/>
        <v>0</v>
      </c>
      <c r="I488" s="6">
        <f t="shared" si="119"/>
        <v>0</v>
      </c>
    </row>
    <row r="489" spans="2:10" ht="17.25" thickBot="1" x14ac:dyDescent="0.35">
      <c r="B489" s="4"/>
      <c r="C489" s="4"/>
      <c r="D489" s="4"/>
      <c r="E489" s="4" t="s">
        <v>883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884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4" t="s">
        <v>556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IF(hascolor(E487:E491,$L$5)=TRUE, 1, 0)</f>
        <v>0</v>
      </c>
    </row>
    <row r="492" spans="2:10" ht="17.25" thickBot="1" x14ac:dyDescent="0.35">
      <c r="B492" s="6" t="s">
        <v>88</v>
      </c>
      <c r="C492" s="6" t="s">
        <v>292</v>
      </c>
      <c r="D492" s="6" t="s">
        <v>409</v>
      </c>
      <c r="E492" s="13" t="s">
        <v>885</v>
      </c>
      <c r="F492" s="6" t="b">
        <f t="shared" si="116"/>
        <v>1</v>
      </c>
      <c r="G492" s="6">
        <f t="shared" si="117"/>
        <v>1</v>
      </c>
      <c r="H492" s="6" t="b">
        <f t="shared" si="118"/>
        <v>0</v>
      </c>
      <c r="I492" s="6">
        <f t="shared" si="119"/>
        <v>0</v>
      </c>
    </row>
    <row r="493" spans="2:10" ht="17.25" thickBot="1" x14ac:dyDescent="0.35">
      <c r="B493" s="4"/>
      <c r="C493" s="4" t="s">
        <v>293</v>
      </c>
      <c r="D493" s="4" t="s">
        <v>410</v>
      </c>
      <c r="E493" s="12" t="s">
        <v>886</v>
      </c>
      <c r="F493" s="6" t="b">
        <f t="shared" si="116"/>
        <v>1</v>
      </c>
      <c r="G493" s="6">
        <f t="shared" si="117"/>
        <v>1</v>
      </c>
      <c r="H493" s="6" t="b">
        <f t="shared" si="118"/>
        <v>0</v>
      </c>
      <c r="I493" s="6">
        <f t="shared" si="119"/>
        <v>0</v>
      </c>
    </row>
    <row r="494" spans="2:10" ht="17.25" thickBot="1" x14ac:dyDescent="0.35">
      <c r="B494" s="4"/>
      <c r="C494" s="4" t="s">
        <v>294</v>
      </c>
      <c r="D494" s="4" t="s">
        <v>411</v>
      </c>
      <c r="E494" s="4" t="s">
        <v>873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295</v>
      </c>
      <c r="E495" s="4" t="s">
        <v>874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4" t="s">
        <v>557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IF(hascolor(E492:E496,$L$5)=TRUE, 1, 0)</f>
        <v>0</v>
      </c>
    </row>
    <row r="497" spans="2:13" ht="17.25" thickBot="1" x14ac:dyDescent="0.35">
      <c r="B497" s="6" t="s">
        <v>89</v>
      </c>
      <c r="C497" s="6" t="s">
        <v>296</v>
      </c>
      <c r="D497" s="6" t="s">
        <v>403</v>
      </c>
      <c r="E497" s="13" t="s">
        <v>877</v>
      </c>
      <c r="F497" s="6" t="b">
        <f t="shared" si="116"/>
        <v>1</v>
      </c>
      <c r="G497" s="6">
        <f t="shared" si="117"/>
        <v>1</v>
      </c>
      <c r="H497" s="6" t="b">
        <f t="shared" si="118"/>
        <v>0</v>
      </c>
      <c r="I497" s="6">
        <f t="shared" si="119"/>
        <v>0</v>
      </c>
    </row>
    <row r="498" spans="2:13" ht="17.25" thickBot="1" x14ac:dyDescent="0.35">
      <c r="B498" s="4"/>
      <c r="C498" s="4"/>
      <c r="D498" s="4"/>
      <c r="E498" s="4" t="s">
        <v>868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3" ht="17.25" thickBot="1" x14ac:dyDescent="0.35">
      <c r="B499" s="4"/>
      <c r="C499" s="4"/>
      <c r="D499" s="4"/>
      <c r="E499" s="4" t="s">
        <v>878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3" ht="17.25" thickBot="1" x14ac:dyDescent="0.35">
      <c r="B500" s="4"/>
      <c r="C500" s="4"/>
      <c r="D500" s="4"/>
      <c r="E500" s="4" t="s">
        <v>873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3" ht="17.25" thickBot="1" x14ac:dyDescent="0.35">
      <c r="B501" s="5"/>
      <c r="C501" s="5"/>
      <c r="D501" s="5"/>
      <c r="E501" s="4" t="s">
        <v>476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 t="shared" si="119"/>
        <v>0</v>
      </c>
      <c r="J501">
        <f t="shared" ref="J501" si="130">IF(hascolor(E497:E501,$L$5)=TRUE, 1, 0)</f>
        <v>0</v>
      </c>
      <c r="K501">
        <f>SUM(J452:J501)</f>
        <v>0</v>
      </c>
      <c r="M501">
        <f>SUM(I452:I501)</f>
        <v>0</v>
      </c>
    </row>
    <row r="502" spans="2:13" ht="17.25" thickBot="1" x14ac:dyDescent="0.35">
      <c r="H502" s="6"/>
      <c r="I502" s="6"/>
    </row>
    <row r="503" spans="2:13" x14ac:dyDescent="0.3">
      <c r="G503" s="7">
        <f>SUM(G2:G501)</f>
        <v>205</v>
      </c>
      <c r="H503" s="6"/>
      <c r="I503" s="8">
        <f>SUM(I2:I501)</f>
        <v>0</v>
      </c>
      <c r="K503">
        <f>J502/100</f>
        <v>0</v>
      </c>
    </row>
    <row r="504" spans="2:13" x14ac:dyDescent="0.3">
      <c r="G504">
        <f>I503/G503%</f>
        <v>0</v>
      </c>
      <c r="I504" s="11"/>
      <c r="J504">
        <f>SUM(J2:J501)</f>
        <v>0</v>
      </c>
    </row>
    <row r="508" spans="2:13" x14ac:dyDescent="0.3">
      <c r="G508" s="10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2025-08-14T05:28:49Z</dcterms:modified>
</cp:coreProperties>
</file>