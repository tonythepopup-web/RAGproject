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roject_LLM\보고서\벤치마크 테스트 결과\"/>
    </mc:Choice>
  </mc:AlternateContent>
  <xr:revisionPtr revIDLastSave="0" documentId="13_ncr:1_{109CACB3-EACC-49E9-A395-255E4F1B2487}" xr6:coauthVersionLast="36" xr6:coauthVersionMax="36" xr10:uidLastSave="{00000000-0000-0000-0000-000000000000}"/>
  <bookViews>
    <workbookView xWindow="0" yWindow="0" windowWidth="28800" windowHeight="12060" xr2:uid="{393CBB83-ECFD-4596-8B36-614EC032A3F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03" i="1" l="1"/>
  <c r="I503" i="1" s="1"/>
  <c r="I501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2" i="1"/>
  <c r="H3" i="1"/>
  <c r="H15" i="1"/>
  <c r="H27" i="1"/>
  <c r="H39" i="1"/>
  <c r="H51" i="1"/>
  <c r="H63" i="1"/>
  <c r="H75" i="1"/>
  <c r="H87" i="1"/>
  <c r="H99" i="1"/>
  <c r="H111" i="1"/>
  <c r="H123" i="1"/>
  <c r="H135" i="1"/>
  <c r="H147" i="1"/>
  <c r="H159" i="1"/>
  <c r="H171" i="1"/>
  <c r="H183" i="1"/>
  <c r="H195" i="1"/>
  <c r="H207" i="1"/>
  <c r="H219" i="1"/>
  <c r="H231" i="1"/>
  <c r="H243" i="1"/>
  <c r="H255" i="1"/>
  <c r="H267" i="1"/>
  <c r="H279" i="1"/>
  <c r="H291" i="1"/>
  <c r="H303" i="1"/>
  <c r="H315" i="1"/>
  <c r="H327" i="1"/>
  <c r="H339" i="1"/>
  <c r="H351" i="1"/>
  <c r="H363" i="1"/>
  <c r="H375" i="1"/>
  <c r="H387" i="1"/>
  <c r="H399" i="1"/>
  <c r="H411" i="1"/>
  <c r="H423" i="1"/>
  <c r="H435" i="1"/>
  <c r="H447" i="1"/>
  <c r="H459" i="1"/>
  <c r="H4" i="1"/>
  <c r="H16" i="1"/>
  <c r="H28" i="1"/>
  <c r="H40" i="1"/>
  <c r="H52" i="1"/>
  <c r="H64" i="1"/>
  <c r="H76" i="1"/>
  <c r="H88" i="1"/>
  <c r="H100" i="1"/>
  <c r="H112" i="1"/>
  <c r="H124" i="1"/>
  <c r="H136" i="1"/>
  <c r="H148" i="1"/>
  <c r="H160" i="1"/>
  <c r="H172" i="1"/>
  <c r="H184" i="1"/>
  <c r="H196" i="1"/>
  <c r="H208" i="1"/>
  <c r="H220" i="1"/>
  <c r="H232" i="1"/>
  <c r="H244" i="1"/>
  <c r="H256" i="1"/>
  <c r="H268" i="1"/>
  <c r="H280" i="1"/>
  <c r="H292" i="1"/>
  <c r="H304" i="1"/>
  <c r="H316" i="1"/>
  <c r="H328" i="1"/>
  <c r="H340" i="1"/>
  <c r="H352" i="1"/>
  <c r="H364" i="1"/>
  <c r="H376" i="1"/>
  <c r="H388" i="1"/>
  <c r="H400" i="1"/>
  <c r="H412" i="1"/>
  <c r="H424" i="1"/>
  <c r="H436" i="1"/>
  <c r="H448" i="1"/>
  <c r="H460" i="1"/>
  <c r="H472" i="1"/>
  <c r="H484" i="1"/>
  <c r="H496" i="1"/>
  <c r="H5" i="1"/>
  <c r="H17" i="1"/>
  <c r="H29" i="1"/>
  <c r="H41" i="1"/>
  <c r="H53" i="1"/>
  <c r="H65" i="1"/>
  <c r="H77" i="1"/>
  <c r="H89" i="1"/>
  <c r="H101" i="1"/>
  <c r="H113" i="1"/>
  <c r="H125" i="1"/>
  <c r="H137" i="1"/>
  <c r="H149" i="1"/>
  <c r="H161" i="1"/>
  <c r="H173" i="1"/>
  <c r="H185" i="1"/>
  <c r="H197" i="1"/>
  <c r="H209" i="1"/>
  <c r="H221" i="1"/>
  <c r="H233" i="1"/>
  <c r="H245" i="1"/>
  <c r="H257" i="1"/>
  <c r="H269" i="1"/>
  <c r="H281" i="1"/>
  <c r="H293" i="1"/>
  <c r="H305" i="1"/>
  <c r="H317" i="1"/>
  <c r="H329" i="1"/>
  <c r="H341" i="1"/>
  <c r="H353" i="1"/>
  <c r="H365" i="1"/>
  <c r="H377" i="1"/>
  <c r="H389" i="1"/>
  <c r="H401" i="1"/>
  <c r="H413" i="1"/>
  <c r="H425" i="1"/>
  <c r="H437" i="1"/>
  <c r="H449" i="1"/>
  <c r="H461" i="1"/>
  <c r="H473" i="1"/>
  <c r="H485" i="1"/>
  <c r="H497" i="1"/>
  <c r="H6" i="1"/>
  <c r="H18" i="1"/>
  <c r="H30" i="1"/>
  <c r="H42" i="1"/>
  <c r="H54" i="1"/>
  <c r="H66" i="1"/>
  <c r="H78" i="1"/>
  <c r="H90" i="1"/>
  <c r="H102" i="1"/>
  <c r="H114" i="1"/>
  <c r="H126" i="1"/>
  <c r="H138" i="1"/>
  <c r="H150" i="1"/>
  <c r="H162" i="1"/>
  <c r="H174" i="1"/>
  <c r="H186" i="1"/>
  <c r="H198" i="1"/>
  <c r="H210" i="1"/>
  <c r="H222" i="1"/>
  <c r="H234" i="1"/>
  <c r="H246" i="1"/>
  <c r="H258" i="1"/>
  <c r="H270" i="1"/>
  <c r="H282" i="1"/>
  <c r="H294" i="1"/>
  <c r="H306" i="1"/>
  <c r="H318" i="1"/>
  <c r="H330" i="1"/>
  <c r="H342" i="1"/>
  <c r="H354" i="1"/>
  <c r="H366" i="1"/>
  <c r="H378" i="1"/>
  <c r="H390" i="1"/>
  <c r="H402" i="1"/>
  <c r="H414" i="1"/>
  <c r="H426" i="1"/>
  <c r="H438" i="1"/>
  <c r="H450" i="1"/>
  <c r="H462" i="1"/>
  <c r="H474" i="1"/>
  <c r="H486" i="1"/>
  <c r="H498" i="1"/>
  <c r="H7" i="1"/>
  <c r="H8" i="1"/>
  <c r="H24" i="1"/>
  <c r="H44" i="1"/>
  <c r="H60" i="1"/>
  <c r="H80" i="1"/>
  <c r="H96" i="1"/>
  <c r="H116" i="1"/>
  <c r="H132" i="1"/>
  <c r="H152" i="1"/>
  <c r="H168" i="1"/>
  <c r="H188" i="1"/>
  <c r="H204" i="1"/>
  <c r="H224" i="1"/>
  <c r="H240" i="1"/>
  <c r="H260" i="1"/>
  <c r="H276" i="1"/>
  <c r="H296" i="1"/>
  <c r="H312" i="1"/>
  <c r="H332" i="1"/>
  <c r="H348" i="1"/>
  <c r="H368" i="1"/>
  <c r="H384" i="1"/>
  <c r="H404" i="1"/>
  <c r="H420" i="1"/>
  <c r="H440" i="1"/>
  <c r="H456" i="1"/>
  <c r="H475" i="1"/>
  <c r="H490" i="1"/>
  <c r="H9" i="1"/>
  <c r="H25" i="1"/>
  <c r="H45" i="1"/>
  <c r="H61" i="1"/>
  <c r="H81" i="1"/>
  <c r="H97" i="1"/>
  <c r="H117" i="1"/>
  <c r="H133" i="1"/>
  <c r="H153" i="1"/>
  <c r="H169" i="1"/>
  <c r="H189" i="1"/>
  <c r="H205" i="1"/>
  <c r="H225" i="1"/>
  <c r="H241" i="1"/>
  <c r="H261" i="1"/>
  <c r="H277" i="1"/>
  <c r="H297" i="1"/>
  <c r="H313" i="1"/>
  <c r="H333" i="1"/>
  <c r="H349" i="1"/>
  <c r="H369" i="1"/>
  <c r="H385" i="1"/>
  <c r="H405" i="1"/>
  <c r="H421" i="1"/>
  <c r="H441" i="1"/>
  <c r="H457" i="1"/>
  <c r="H476" i="1"/>
  <c r="H491" i="1"/>
  <c r="H10" i="1"/>
  <c r="H26" i="1"/>
  <c r="H46" i="1"/>
  <c r="H62" i="1"/>
  <c r="H82" i="1"/>
  <c r="H98" i="1"/>
  <c r="H118" i="1"/>
  <c r="H134" i="1"/>
  <c r="H154" i="1"/>
  <c r="H170" i="1"/>
  <c r="H190" i="1"/>
  <c r="H206" i="1"/>
  <c r="H226" i="1"/>
  <c r="H242" i="1"/>
  <c r="H262" i="1"/>
  <c r="H278" i="1"/>
  <c r="H298" i="1"/>
  <c r="H314" i="1"/>
  <c r="H334" i="1"/>
  <c r="H350" i="1"/>
  <c r="H370" i="1"/>
  <c r="H386" i="1"/>
  <c r="H406" i="1"/>
  <c r="H422" i="1"/>
  <c r="H442" i="1"/>
  <c r="H458" i="1"/>
  <c r="H477" i="1"/>
  <c r="H492" i="1"/>
  <c r="H11" i="1"/>
  <c r="H31" i="1"/>
  <c r="H47" i="1"/>
  <c r="H67" i="1"/>
  <c r="H83" i="1"/>
  <c r="H103" i="1"/>
  <c r="H119" i="1"/>
  <c r="H139" i="1"/>
  <c r="H155" i="1"/>
  <c r="H175" i="1"/>
  <c r="H191" i="1"/>
  <c r="H211" i="1"/>
  <c r="H227" i="1"/>
  <c r="H247" i="1"/>
  <c r="H263" i="1"/>
  <c r="H283" i="1"/>
  <c r="H299" i="1"/>
  <c r="H319" i="1"/>
  <c r="H335" i="1"/>
  <c r="H355" i="1"/>
  <c r="H371" i="1"/>
  <c r="H391" i="1"/>
  <c r="H407" i="1"/>
  <c r="H427" i="1"/>
  <c r="H443" i="1"/>
  <c r="H463" i="1"/>
  <c r="H478" i="1"/>
  <c r="H493" i="1"/>
  <c r="H12" i="1"/>
  <c r="H32" i="1"/>
  <c r="H48" i="1"/>
  <c r="H68" i="1"/>
  <c r="H84" i="1"/>
  <c r="H104" i="1"/>
  <c r="H120" i="1"/>
  <c r="H140" i="1"/>
  <c r="H156" i="1"/>
  <c r="H176" i="1"/>
  <c r="H192" i="1"/>
  <c r="H212" i="1"/>
  <c r="H228" i="1"/>
  <c r="H248" i="1"/>
  <c r="H264" i="1"/>
  <c r="H13" i="1"/>
  <c r="H38" i="1"/>
  <c r="H72" i="1"/>
  <c r="H106" i="1"/>
  <c r="H131" i="1"/>
  <c r="H165" i="1"/>
  <c r="H199" i="1"/>
  <c r="H229" i="1"/>
  <c r="H254" i="1"/>
  <c r="H287" i="1"/>
  <c r="H311" i="1"/>
  <c r="H343" i="1"/>
  <c r="H367" i="1"/>
  <c r="H395" i="1"/>
  <c r="H419" i="1"/>
  <c r="H451" i="1"/>
  <c r="H471" i="1"/>
  <c r="H500" i="1"/>
  <c r="H14" i="1"/>
  <c r="H43" i="1"/>
  <c r="H73" i="1"/>
  <c r="H107" i="1"/>
  <c r="H141" i="1"/>
  <c r="H166" i="1"/>
  <c r="H200" i="1"/>
  <c r="H230" i="1"/>
  <c r="H259" i="1"/>
  <c r="H288" i="1"/>
  <c r="H320" i="1"/>
  <c r="H344" i="1"/>
  <c r="H372" i="1"/>
  <c r="H396" i="1"/>
  <c r="H428" i="1"/>
  <c r="H452" i="1"/>
  <c r="H479" i="1"/>
  <c r="H501" i="1"/>
  <c r="H19" i="1"/>
  <c r="H49" i="1"/>
  <c r="H74" i="1"/>
  <c r="H108" i="1"/>
  <c r="H142" i="1"/>
  <c r="H167" i="1"/>
  <c r="H201" i="1"/>
  <c r="H235" i="1"/>
  <c r="H265" i="1"/>
  <c r="H289" i="1"/>
  <c r="H321" i="1"/>
  <c r="H345" i="1"/>
  <c r="H373" i="1"/>
  <c r="H397" i="1"/>
  <c r="H429" i="1"/>
  <c r="H453" i="1"/>
  <c r="H480" i="1"/>
  <c r="H502" i="1"/>
  <c r="H20" i="1"/>
  <c r="H50" i="1"/>
  <c r="H79" i="1"/>
  <c r="H109" i="1"/>
  <c r="H143" i="1"/>
  <c r="H177" i="1"/>
  <c r="H202" i="1"/>
  <c r="H236" i="1"/>
  <c r="H266" i="1"/>
  <c r="H290" i="1"/>
  <c r="H322" i="1"/>
  <c r="H346" i="1"/>
  <c r="H374" i="1"/>
  <c r="H398" i="1"/>
  <c r="H430" i="1"/>
  <c r="H454" i="1"/>
  <c r="H481" i="1"/>
  <c r="H21" i="1"/>
  <c r="H55" i="1"/>
  <c r="H85" i="1"/>
  <c r="H110" i="1"/>
  <c r="H144" i="1"/>
  <c r="H178" i="1"/>
  <c r="H203" i="1"/>
  <c r="H237" i="1"/>
  <c r="H271" i="1"/>
  <c r="H295" i="1"/>
  <c r="H323" i="1"/>
  <c r="H347" i="1"/>
  <c r="H379" i="1"/>
  <c r="H403" i="1"/>
  <c r="H431" i="1"/>
  <c r="H455" i="1"/>
  <c r="H482" i="1"/>
  <c r="H22" i="1"/>
  <c r="H56" i="1"/>
  <c r="H86" i="1"/>
  <c r="H115" i="1"/>
  <c r="H145" i="1"/>
  <c r="H179" i="1"/>
  <c r="H213" i="1"/>
  <c r="H238" i="1"/>
  <c r="H272" i="1"/>
  <c r="H300" i="1"/>
  <c r="H324" i="1"/>
  <c r="H356" i="1"/>
  <c r="H380" i="1"/>
  <c r="H408" i="1"/>
  <c r="H432" i="1"/>
  <c r="H464" i="1"/>
  <c r="H483" i="1"/>
  <c r="H23" i="1"/>
  <c r="H57" i="1"/>
  <c r="H91" i="1"/>
  <c r="H121" i="1"/>
  <c r="H146" i="1"/>
  <c r="H180" i="1"/>
  <c r="H214" i="1"/>
  <c r="H239" i="1"/>
  <c r="H273" i="1"/>
  <c r="H301" i="1"/>
  <c r="H325" i="1"/>
  <c r="H357" i="1"/>
  <c r="H381" i="1"/>
  <c r="H409" i="1"/>
  <c r="H433" i="1"/>
  <c r="H465" i="1"/>
  <c r="H487" i="1"/>
  <c r="H33" i="1"/>
  <c r="H58" i="1"/>
  <c r="H92" i="1"/>
  <c r="H122" i="1"/>
  <c r="H151" i="1"/>
  <c r="H181" i="1"/>
  <c r="H215" i="1"/>
  <c r="H249" i="1"/>
  <c r="H274" i="1"/>
  <c r="H302" i="1"/>
  <c r="H326" i="1"/>
  <c r="H358" i="1"/>
  <c r="H382" i="1"/>
  <c r="H410" i="1"/>
  <c r="H434" i="1"/>
  <c r="H466" i="1"/>
  <c r="H488" i="1"/>
  <c r="H34" i="1"/>
  <c r="H59" i="1"/>
  <c r="H93" i="1"/>
  <c r="H127" i="1"/>
  <c r="H157" i="1"/>
  <c r="H182" i="1"/>
  <c r="H216" i="1"/>
  <c r="H250" i="1"/>
  <c r="H275" i="1"/>
  <c r="H307" i="1"/>
  <c r="H331" i="1"/>
  <c r="H359" i="1"/>
  <c r="H383" i="1"/>
  <c r="H415" i="1"/>
  <c r="H439" i="1"/>
  <c r="H467" i="1"/>
  <c r="H489" i="1"/>
  <c r="H35" i="1"/>
  <c r="H69" i="1"/>
  <c r="H94" i="1"/>
  <c r="H128" i="1"/>
  <c r="H158" i="1"/>
  <c r="H187" i="1"/>
  <c r="H217" i="1"/>
  <c r="H251" i="1"/>
  <c r="H284" i="1"/>
  <c r="H308" i="1"/>
  <c r="H336" i="1"/>
  <c r="H360" i="1"/>
  <c r="H392" i="1"/>
  <c r="H416" i="1"/>
  <c r="H444" i="1"/>
  <c r="H468" i="1"/>
  <c r="H494" i="1"/>
  <c r="H36" i="1"/>
  <c r="H70" i="1"/>
  <c r="H95" i="1"/>
  <c r="H129" i="1"/>
  <c r="H163" i="1"/>
  <c r="H193" i="1"/>
  <c r="H218" i="1"/>
  <c r="H252" i="1"/>
  <c r="H285" i="1"/>
  <c r="H309" i="1"/>
  <c r="H337" i="1"/>
  <c r="H361" i="1"/>
  <c r="H393" i="1"/>
  <c r="H417" i="1"/>
  <c r="H445" i="1"/>
  <c r="H469" i="1"/>
  <c r="H495" i="1"/>
  <c r="H37" i="1"/>
  <c r="H71" i="1"/>
  <c r="H105" i="1"/>
  <c r="H130" i="1"/>
  <c r="H164" i="1"/>
  <c r="H194" i="1"/>
  <c r="H223" i="1"/>
  <c r="H253" i="1"/>
  <c r="H286" i="1"/>
  <c r="H310" i="1"/>
  <c r="H338" i="1"/>
  <c r="H362" i="1"/>
  <c r="H394" i="1"/>
  <c r="H418" i="1"/>
  <c r="H446" i="1"/>
  <c r="H470" i="1"/>
  <c r="H499" i="1"/>
  <c r="H2" i="1"/>
  <c r="G17" i="1" l="1"/>
  <c r="G19" i="1"/>
  <c r="G20" i="1"/>
  <c r="G21" i="1"/>
  <c r="G22" i="1"/>
  <c r="G23" i="1"/>
  <c r="G41" i="1"/>
  <c r="G43" i="1"/>
  <c r="G44" i="1"/>
  <c r="G45" i="1"/>
  <c r="G46" i="1"/>
  <c r="G47" i="1"/>
  <c r="G65" i="1"/>
  <c r="G67" i="1"/>
  <c r="G68" i="1"/>
  <c r="G69" i="1"/>
  <c r="G70" i="1"/>
  <c r="G71" i="1"/>
  <c r="G89" i="1"/>
  <c r="G91" i="1"/>
  <c r="G92" i="1"/>
  <c r="G93" i="1"/>
  <c r="G94" i="1"/>
  <c r="G95" i="1"/>
  <c r="G113" i="1"/>
  <c r="G115" i="1"/>
  <c r="G116" i="1"/>
  <c r="G117" i="1"/>
  <c r="G118" i="1"/>
  <c r="G119" i="1"/>
  <c r="G137" i="1"/>
  <c r="G139" i="1"/>
  <c r="G140" i="1"/>
  <c r="G141" i="1"/>
  <c r="G142" i="1"/>
  <c r="G143" i="1"/>
  <c r="G161" i="1"/>
  <c r="G163" i="1"/>
  <c r="G164" i="1"/>
  <c r="G165" i="1"/>
  <c r="G166" i="1"/>
  <c r="G167" i="1"/>
  <c r="G185" i="1"/>
  <c r="G187" i="1"/>
  <c r="G188" i="1"/>
  <c r="G189" i="1"/>
  <c r="G190" i="1"/>
  <c r="G191" i="1"/>
  <c r="G209" i="1"/>
  <c r="G211" i="1"/>
  <c r="G212" i="1"/>
  <c r="G213" i="1"/>
  <c r="G214" i="1"/>
  <c r="G215" i="1"/>
  <c r="G233" i="1"/>
  <c r="G235" i="1"/>
  <c r="G236" i="1"/>
  <c r="G237" i="1"/>
  <c r="G238" i="1"/>
  <c r="G239" i="1"/>
  <c r="G257" i="1"/>
  <c r="G259" i="1"/>
  <c r="G260" i="1"/>
  <c r="G261" i="1"/>
  <c r="G262" i="1"/>
  <c r="G263" i="1"/>
  <c r="G281" i="1"/>
  <c r="G283" i="1"/>
  <c r="G284" i="1"/>
  <c r="G285" i="1"/>
  <c r="G286" i="1"/>
  <c r="G287" i="1"/>
  <c r="G305" i="1"/>
  <c r="G307" i="1"/>
  <c r="G308" i="1"/>
  <c r="G309" i="1"/>
  <c r="G310" i="1"/>
  <c r="G311" i="1"/>
  <c r="G329" i="1"/>
  <c r="G331" i="1"/>
  <c r="G332" i="1"/>
  <c r="G333" i="1"/>
  <c r="G334" i="1"/>
  <c r="G335" i="1"/>
  <c r="G353" i="1"/>
  <c r="G355" i="1"/>
  <c r="G356" i="1"/>
  <c r="G357" i="1"/>
  <c r="G358" i="1"/>
  <c r="G359" i="1"/>
  <c r="G377" i="1"/>
  <c r="G379" i="1"/>
  <c r="G380" i="1"/>
  <c r="G381" i="1"/>
  <c r="G382" i="1"/>
  <c r="G383" i="1"/>
  <c r="G401" i="1"/>
  <c r="G403" i="1"/>
  <c r="G404" i="1"/>
  <c r="G405" i="1"/>
  <c r="G406" i="1"/>
  <c r="G407" i="1"/>
  <c r="G425" i="1"/>
  <c r="G427" i="1"/>
  <c r="G428" i="1"/>
  <c r="G429" i="1"/>
  <c r="G430" i="1"/>
  <c r="G431" i="1"/>
  <c r="G449" i="1"/>
  <c r="G451" i="1"/>
  <c r="G452" i="1"/>
  <c r="G453" i="1"/>
  <c r="G454" i="1"/>
  <c r="G455" i="1"/>
  <c r="G473" i="1"/>
  <c r="G475" i="1"/>
  <c r="G476" i="1"/>
  <c r="G479" i="1"/>
  <c r="G497" i="1"/>
  <c r="G499" i="1"/>
  <c r="G500" i="1"/>
  <c r="G501" i="1"/>
  <c r="F3" i="1"/>
  <c r="G3" i="1" s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F18" i="1"/>
  <c r="G18" i="1" s="1"/>
  <c r="F19" i="1"/>
  <c r="F20" i="1"/>
  <c r="F21" i="1"/>
  <c r="F22" i="1"/>
  <c r="F23" i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36" i="1"/>
  <c r="G36" i="1" s="1"/>
  <c r="F37" i="1"/>
  <c r="G37" i="1" s="1"/>
  <c r="F38" i="1"/>
  <c r="G38" i="1" s="1"/>
  <c r="F39" i="1"/>
  <c r="G39" i="1" s="1"/>
  <c r="F40" i="1"/>
  <c r="G40" i="1" s="1"/>
  <c r="F41" i="1"/>
  <c r="F42" i="1"/>
  <c r="G42" i="1" s="1"/>
  <c r="F43" i="1"/>
  <c r="F44" i="1"/>
  <c r="F45" i="1"/>
  <c r="F46" i="1"/>
  <c r="F47" i="1"/>
  <c r="F48" i="1"/>
  <c r="G48" i="1" s="1"/>
  <c r="F49" i="1"/>
  <c r="G49" i="1" s="1"/>
  <c r="F50" i="1"/>
  <c r="G50" i="1" s="1"/>
  <c r="F51" i="1"/>
  <c r="G51" i="1" s="1"/>
  <c r="F52" i="1"/>
  <c r="G52" i="1" s="1"/>
  <c r="F53" i="1"/>
  <c r="G53" i="1" s="1"/>
  <c r="F54" i="1"/>
  <c r="G54" i="1" s="1"/>
  <c r="F55" i="1"/>
  <c r="G55" i="1" s="1"/>
  <c r="F56" i="1"/>
  <c r="G56" i="1" s="1"/>
  <c r="F57" i="1"/>
  <c r="G57" i="1" s="1"/>
  <c r="F58" i="1"/>
  <c r="G58" i="1" s="1"/>
  <c r="F59" i="1"/>
  <c r="G59" i="1" s="1"/>
  <c r="F60" i="1"/>
  <c r="G60" i="1" s="1"/>
  <c r="F61" i="1"/>
  <c r="G61" i="1" s="1"/>
  <c r="F62" i="1"/>
  <c r="G62" i="1" s="1"/>
  <c r="F63" i="1"/>
  <c r="G63" i="1" s="1"/>
  <c r="F64" i="1"/>
  <c r="G64" i="1" s="1"/>
  <c r="F65" i="1"/>
  <c r="F66" i="1"/>
  <c r="G66" i="1" s="1"/>
  <c r="F67" i="1"/>
  <c r="F68" i="1"/>
  <c r="F69" i="1"/>
  <c r="F70" i="1"/>
  <c r="F71" i="1"/>
  <c r="F72" i="1"/>
  <c r="G72" i="1" s="1"/>
  <c r="F73" i="1"/>
  <c r="G73" i="1" s="1"/>
  <c r="F74" i="1"/>
  <c r="G74" i="1" s="1"/>
  <c r="F75" i="1"/>
  <c r="G75" i="1" s="1"/>
  <c r="F76" i="1"/>
  <c r="G76" i="1" s="1"/>
  <c r="F77" i="1"/>
  <c r="G77" i="1" s="1"/>
  <c r="F78" i="1"/>
  <c r="G78" i="1" s="1"/>
  <c r="F79" i="1"/>
  <c r="G79" i="1" s="1"/>
  <c r="F80" i="1"/>
  <c r="G80" i="1" s="1"/>
  <c r="F81" i="1"/>
  <c r="G81" i="1" s="1"/>
  <c r="F82" i="1"/>
  <c r="G82" i="1" s="1"/>
  <c r="F83" i="1"/>
  <c r="G83" i="1" s="1"/>
  <c r="F84" i="1"/>
  <c r="G84" i="1" s="1"/>
  <c r="F85" i="1"/>
  <c r="G85" i="1" s="1"/>
  <c r="F86" i="1"/>
  <c r="G86" i="1" s="1"/>
  <c r="F87" i="1"/>
  <c r="G87" i="1" s="1"/>
  <c r="F88" i="1"/>
  <c r="G88" i="1" s="1"/>
  <c r="F89" i="1"/>
  <c r="F90" i="1"/>
  <c r="G90" i="1" s="1"/>
  <c r="F91" i="1"/>
  <c r="F92" i="1"/>
  <c r="F93" i="1"/>
  <c r="F94" i="1"/>
  <c r="F95" i="1"/>
  <c r="F96" i="1"/>
  <c r="G96" i="1" s="1"/>
  <c r="F97" i="1"/>
  <c r="G97" i="1" s="1"/>
  <c r="F98" i="1"/>
  <c r="G98" i="1" s="1"/>
  <c r="F99" i="1"/>
  <c r="G99" i="1" s="1"/>
  <c r="F100" i="1"/>
  <c r="G100" i="1" s="1"/>
  <c r="F101" i="1"/>
  <c r="G101" i="1" s="1"/>
  <c r="F102" i="1"/>
  <c r="G102" i="1" s="1"/>
  <c r="F103" i="1"/>
  <c r="G103" i="1" s="1"/>
  <c r="F104" i="1"/>
  <c r="G104" i="1" s="1"/>
  <c r="F105" i="1"/>
  <c r="G105" i="1" s="1"/>
  <c r="F106" i="1"/>
  <c r="G106" i="1" s="1"/>
  <c r="F107" i="1"/>
  <c r="G107" i="1" s="1"/>
  <c r="F108" i="1"/>
  <c r="G108" i="1" s="1"/>
  <c r="F109" i="1"/>
  <c r="G109" i="1" s="1"/>
  <c r="F110" i="1"/>
  <c r="G110" i="1" s="1"/>
  <c r="F111" i="1"/>
  <c r="G111" i="1" s="1"/>
  <c r="F112" i="1"/>
  <c r="G112" i="1" s="1"/>
  <c r="F113" i="1"/>
  <c r="F114" i="1"/>
  <c r="G114" i="1" s="1"/>
  <c r="F115" i="1"/>
  <c r="F116" i="1"/>
  <c r="F117" i="1"/>
  <c r="F118" i="1"/>
  <c r="F119" i="1"/>
  <c r="F120" i="1"/>
  <c r="G120" i="1" s="1"/>
  <c r="F121" i="1"/>
  <c r="G121" i="1" s="1"/>
  <c r="F122" i="1"/>
  <c r="G122" i="1" s="1"/>
  <c r="F123" i="1"/>
  <c r="G123" i="1" s="1"/>
  <c r="F124" i="1"/>
  <c r="G124" i="1" s="1"/>
  <c r="F125" i="1"/>
  <c r="G125" i="1" s="1"/>
  <c r="F126" i="1"/>
  <c r="G126" i="1" s="1"/>
  <c r="F127" i="1"/>
  <c r="G127" i="1" s="1"/>
  <c r="F128" i="1"/>
  <c r="G128" i="1" s="1"/>
  <c r="F129" i="1"/>
  <c r="G129" i="1" s="1"/>
  <c r="F130" i="1"/>
  <c r="G130" i="1" s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F138" i="1"/>
  <c r="G138" i="1" s="1"/>
  <c r="F139" i="1"/>
  <c r="F140" i="1"/>
  <c r="F141" i="1"/>
  <c r="F142" i="1"/>
  <c r="F143" i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F162" i="1"/>
  <c r="G162" i="1" s="1"/>
  <c r="F163" i="1"/>
  <c r="F164" i="1"/>
  <c r="F165" i="1"/>
  <c r="F166" i="1"/>
  <c r="F167" i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F186" i="1"/>
  <c r="G186" i="1" s="1"/>
  <c r="F187" i="1"/>
  <c r="F188" i="1"/>
  <c r="F189" i="1"/>
  <c r="F190" i="1"/>
  <c r="F191" i="1"/>
  <c r="F192" i="1"/>
  <c r="G192" i="1" s="1"/>
  <c r="F193" i="1"/>
  <c r="G193" i="1" s="1"/>
  <c r="F194" i="1"/>
  <c r="G194" i="1" s="1"/>
  <c r="F195" i="1"/>
  <c r="G195" i="1" s="1"/>
  <c r="F196" i="1"/>
  <c r="G196" i="1" s="1"/>
  <c r="F197" i="1"/>
  <c r="G197" i="1" s="1"/>
  <c r="F198" i="1"/>
  <c r="G198" i="1" s="1"/>
  <c r="F199" i="1"/>
  <c r="G199" i="1" s="1"/>
  <c r="F200" i="1"/>
  <c r="G200" i="1" s="1"/>
  <c r="F201" i="1"/>
  <c r="G201" i="1" s="1"/>
  <c r="F202" i="1"/>
  <c r="G202" i="1" s="1"/>
  <c r="F203" i="1"/>
  <c r="G203" i="1" s="1"/>
  <c r="F204" i="1"/>
  <c r="G204" i="1" s="1"/>
  <c r="F205" i="1"/>
  <c r="G205" i="1" s="1"/>
  <c r="F206" i="1"/>
  <c r="G206" i="1" s="1"/>
  <c r="F207" i="1"/>
  <c r="G207" i="1" s="1"/>
  <c r="F208" i="1"/>
  <c r="G208" i="1" s="1"/>
  <c r="F209" i="1"/>
  <c r="F210" i="1"/>
  <c r="G210" i="1" s="1"/>
  <c r="F211" i="1"/>
  <c r="F212" i="1"/>
  <c r="F213" i="1"/>
  <c r="F214" i="1"/>
  <c r="F215" i="1"/>
  <c r="F216" i="1"/>
  <c r="G216" i="1" s="1"/>
  <c r="F217" i="1"/>
  <c r="G217" i="1" s="1"/>
  <c r="F218" i="1"/>
  <c r="G218" i="1" s="1"/>
  <c r="F219" i="1"/>
  <c r="G219" i="1" s="1"/>
  <c r="F220" i="1"/>
  <c r="G220" i="1" s="1"/>
  <c r="F221" i="1"/>
  <c r="G221" i="1" s="1"/>
  <c r="F222" i="1"/>
  <c r="G222" i="1" s="1"/>
  <c r="F223" i="1"/>
  <c r="G223" i="1" s="1"/>
  <c r="F224" i="1"/>
  <c r="G224" i="1" s="1"/>
  <c r="F225" i="1"/>
  <c r="G225" i="1" s="1"/>
  <c r="F226" i="1"/>
  <c r="G226" i="1" s="1"/>
  <c r="F227" i="1"/>
  <c r="G227" i="1" s="1"/>
  <c r="F228" i="1"/>
  <c r="G228" i="1" s="1"/>
  <c r="F229" i="1"/>
  <c r="G229" i="1" s="1"/>
  <c r="F230" i="1"/>
  <c r="G230" i="1" s="1"/>
  <c r="F231" i="1"/>
  <c r="G231" i="1" s="1"/>
  <c r="F232" i="1"/>
  <c r="G232" i="1" s="1"/>
  <c r="F233" i="1"/>
  <c r="F234" i="1"/>
  <c r="G234" i="1" s="1"/>
  <c r="F235" i="1"/>
  <c r="F236" i="1"/>
  <c r="F237" i="1"/>
  <c r="F238" i="1"/>
  <c r="F239" i="1"/>
  <c r="F240" i="1"/>
  <c r="G240" i="1" s="1"/>
  <c r="F241" i="1"/>
  <c r="G241" i="1" s="1"/>
  <c r="F242" i="1"/>
  <c r="G242" i="1" s="1"/>
  <c r="F243" i="1"/>
  <c r="G243" i="1" s="1"/>
  <c r="F244" i="1"/>
  <c r="G244" i="1" s="1"/>
  <c r="F245" i="1"/>
  <c r="G245" i="1" s="1"/>
  <c r="F246" i="1"/>
  <c r="G246" i="1" s="1"/>
  <c r="F247" i="1"/>
  <c r="G247" i="1" s="1"/>
  <c r="F248" i="1"/>
  <c r="G248" i="1" s="1"/>
  <c r="F249" i="1"/>
  <c r="G249" i="1" s="1"/>
  <c r="F250" i="1"/>
  <c r="G250" i="1" s="1"/>
  <c r="F251" i="1"/>
  <c r="G251" i="1" s="1"/>
  <c r="F252" i="1"/>
  <c r="G252" i="1" s="1"/>
  <c r="F253" i="1"/>
  <c r="G253" i="1" s="1"/>
  <c r="F254" i="1"/>
  <c r="G254" i="1" s="1"/>
  <c r="F255" i="1"/>
  <c r="G255" i="1" s="1"/>
  <c r="F256" i="1"/>
  <c r="G256" i="1" s="1"/>
  <c r="F257" i="1"/>
  <c r="F258" i="1"/>
  <c r="G258" i="1" s="1"/>
  <c r="F259" i="1"/>
  <c r="F260" i="1"/>
  <c r="F261" i="1"/>
  <c r="F262" i="1"/>
  <c r="F263" i="1"/>
  <c r="F264" i="1"/>
  <c r="G264" i="1" s="1"/>
  <c r="F265" i="1"/>
  <c r="G265" i="1" s="1"/>
  <c r="F266" i="1"/>
  <c r="G266" i="1" s="1"/>
  <c r="F267" i="1"/>
  <c r="G267" i="1" s="1"/>
  <c r="F268" i="1"/>
  <c r="G268" i="1" s="1"/>
  <c r="F269" i="1"/>
  <c r="G269" i="1" s="1"/>
  <c r="F270" i="1"/>
  <c r="G270" i="1" s="1"/>
  <c r="F271" i="1"/>
  <c r="G271" i="1" s="1"/>
  <c r="F272" i="1"/>
  <c r="G272" i="1" s="1"/>
  <c r="F273" i="1"/>
  <c r="G273" i="1" s="1"/>
  <c r="F274" i="1"/>
  <c r="G274" i="1" s="1"/>
  <c r="F275" i="1"/>
  <c r="G275" i="1" s="1"/>
  <c r="F276" i="1"/>
  <c r="G276" i="1" s="1"/>
  <c r="F277" i="1"/>
  <c r="G277" i="1" s="1"/>
  <c r="F278" i="1"/>
  <c r="G278" i="1" s="1"/>
  <c r="F279" i="1"/>
  <c r="G279" i="1" s="1"/>
  <c r="F280" i="1"/>
  <c r="G280" i="1" s="1"/>
  <c r="F281" i="1"/>
  <c r="F282" i="1"/>
  <c r="G282" i="1" s="1"/>
  <c r="F283" i="1"/>
  <c r="F284" i="1"/>
  <c r="F285" i="1"/>
  <c r="F286" i="1"/>
  <c r="F287" i="1"/>
  <c r="F288" i="1"/>
  <c r="G288" i="1" s="1"/>
  <c r="F289" i="1"/>
  <c r="G289" i="1" s="1"/>
  <c r="F290" i="1"/>
  <c r="G290" i="1" s="1"/>
  <c r="F291" i="1"/>
  <c r="G291" i="1" s="1"/>
  <c r="F292" i="1"/>
  <c r="G292" i="1" s="1"/>
  <c r="F293" i="1"/>
  <c r="G293" i="1" s="1"/>
  <c r="F294" i="1"/>
  <c r="G294" i="1" s="1"/>
  <c r="F295" i="1"/>
  <c r="G295" i="1" s="1"/>
  <c r="F296" i="1"/>
  <c r="G296" i="1" s="1"/>
  <c r="F297" i="1"/>
  <c r="G297" i="1" s="1"/>
  <c r="F298" i="1"/>
  <c r="G298" i="1" s="1"/>
  <c r="F299" i="1"/>
  <c r="G299" i="1" s="1"/>
  <c r="F300" i="1"/>
  <c r="G300" i="1" s="1"/>
  <c r="F301" i="1"/>
  <c r="G301" i="1" s="1"/>
  <c r="F302" i="1"/>
  <c r="G302" i="1" s="1"/>
  <c r="F303" i="1"/>
  <c r="G303" i="1" s="1"/>
  <c r="F304" i="1"/>
  <c r="G304" i="1" s="1"/>
  <c r="F305" i="1"/>
  <c r="F306" i="1"/>
  <c r="G306" i="1" s="1"/>
  <c r="F307" i="1"/>
  <c r="F308" i="1"/>
  <c r="F309" i="1"/>
  <c r="F310" i="1"/>
  <c r="F311" i="1"/>
  <c r="F312" i="1"/>
  <c r="G312" i="1" s="1"/>
  <c r="F313" i="1"/>
  <c r="G313" i="1" s="1"/>
  <c r="F314" i="1"/>
  <c r="G314" i="1" s="1"/>
  <c r="F315" i="1"/>
  <c r="G315" i="1" s="1"/>
  <c r="F316" i="1"/>
  <c r="G316" i="1" s="1"/>
  <c r="F317" i="1"/>
  <c r="G317" i="1" s="1"/>
  <c r="F318" i="1"/>
  <c r="G318" i="1" s="1"/>
  <c r="F319" i="1"/>
  <c r="G319" i="1" s="1"/>
  <c r="F320" i="1"/>
  <c r="G320" i="1" s="1"/>
  <c r="F321" i="1"/>
  <c r="G321" i="1" s="1"/>
  <c r="F322" i="1"/>
  <c r="G322" i="1" s="1"/>
  <c r="F323" i="1"/>
  <c r="G323" i="1" s="1"/>
  <c r="F324" i="1"/>
  <c r="G324" i="1" s="1"/>
  <c r="F325" i="1"/>
  <c r="G325" i="1" s="1"/>
  <c r="F326" i="1"/>
  <c r="G326" i="1" s="1"/>
  <c r="F327" i="1"/>
  <c r="G327" i="1" s="1"/>
  <c r="F328" i="1"/>
  <c r="G328" i="1" s="1"/>
  <c r="F329" i="1"/>
  <c r="F330" i="1"/>
  <c r="G330" i="1" s="1"/>
  <c r="F331" i="1"/>
  <c r="F332" i="1"/>
  <c r="F333" i="1"/>
  <c r="F334" i="1"/>
  <c r="F335" i="1"/>
  <c r="F336" i="1"/>
  <c r="G336" i="1" s="1"/>
  <c r="F337" i="1"/>
  <c r="G337" i="1" s="1"/>
  <c r="F338" i="1"/>
  <c r="G338" i="1" s="1"/>
  <c r="F339" i="1"/>
  <c r="G339" i="1" s="1"/>
  <c r="F340" i="1"/>
  <c r="G340" i="1" s="1"/>
  <c r="F341" i="1"/>
  <c r="G341" i="1" s="1"/>
  <c r="F342" i="1"/>
  <c r="G342" i="1" s="1"/>
  <c r="F343" i="1"/>
  <c r="G343" i="1" s="1"/>
  <c r="F344" i="1"/>
  <c r="G344" i="1" s="1"/>
  <c r="F345" i="1"/>
  <c r="G345" i="1" s="1"/>
  <c r="F346" i="1"/>
  <c r="G346" i="1" s="1"/>
  <c r="F347" i="1"/>
  <c r="G347" i="1" s="1"/>
  <c r="F348" i="1"/>
  <c r="G348" i="1" s="1"/>
  <c r="F349" i="1"/>
  <c r="G349" i="1" s="1"/>
  <c r="F350" i="1"/>
  <c r="G350" i="1" s="1"/>
  <c r="F351" i="1"/>
  <c r="G351" i="1" s="1"/>
  <c r="F352" i="1"/>
  <c r="G352" i="1" s="1"/>
  <c r="F353" i="1"/>
  <c r="F354" i="1"/>
  <c r="G354" i="1" s="1"/>
  <c r="F355" i="1"/>
  <c r="F356" i="1"/>
  <c r="F357" i="1"/>
  <c r="F358" i="1"/>
  <c r="F359" i="1"/>
  <c r="F360" i="1"/>
  <c r="G360" i="1" s="1"/>
  <c r="F361" i="1"/>
  <c r="G361" i="1" s="1"/>
  <c r="F362" i="1"/>
  <c r="G362" i="1" s="1"/>
  <c r="F363" i="1"/>
  <c r="G363" i="1" s="1"/>
  <c r="F364" i="1"/>
  <c r="G364" i="1" s="1"/>
  <c r="F365" i="1"/>
  <c r="G365" i="1" s="1"/>
  <c r="F366" i="1"/>
  <c r="G366" i="1" s="1"/>
  <c r="F367" i="1"/>
  <c r="G367" i="1" s="1"/>
  <c r="F368" i="1"/>
  <c r="G368" i="1" s="1"/>
  <c r="F369" i="1"/>
  <c r="G369" i="1" s="1"/>
  <c r="F370" i="1"/>
  <c r="G370" i="1" s="1"/>
  <c r="F371" i="1"/>
  <c r="G371" i="1" s="1"/>
  <c r="F372" i="1"/>
  <c r="G372" i="1" s="1"/>
  <c r="F373" i="1"/>
  <c r="G373" i="1" s="1"/>
  <c r="F374" i="1"/>
  <c r="G374" i="1" s="1"/>
  <c r="F375" i="1"/>
  <c r="G375" i="1" s="1"/>
  <c r="F376" i="1"/>
  <c r="G376" i="1" s="1"/>
  <c r="F377" i="1"/>
  <c r="F378" i="1"/>
  <c r="G378" i="1" s="1"/>
  <c r="F379" i="1"/>
  <c r="F380" i="1"/>
  <c r="F381" i="1"/>
  <c r="F382" i="1"/>
  <c r="F383" i="1"/>
  <c r="F384" i="1"/>
  <c r="G384" i="1" s="1"/>
  <c r="F385" i="1"/>
  <c r="G385" i="1" s="1"/>
  <c r="F386" i="1"/>
  <c r="G386" i="1" s="1"/>
  <c r="F387" i="1"/>
  <c r="G387" i="1" s="1"/>
  <c r="F388" i="1"/>
  <c r="G388" i="1" s="1"/>
  <c r="F389" i="1"/>
  <c r="G389" i="1" s="1"/>
  <c r="F390" i="1"/>
  <c r="G390" i="1" s="1"/>
  <c r="F391" i="1"/>
  <c r="G391" i="1" s="1"/>
  <c r="F392" i="1"/>
  <c r="G392" i="1" s="1"/>
  <c r="F393" i="1"/>
  <c r="G393" i="1" s="1"/>
  <c r="F394" i="1"/>
  <c r="G394" i="1" s="1"/>
  <c r="F395" i="1"/>
  <c r="G395" i="1" s="1"/>
  <c r="F396" i="1"/>
  <c r="G396" i="1" s="1"/>
  <c r="F397" i="1"/>
  <c r="G397" i="1" s="1"/>
  <c r="F398" i="1"/>
  <c r="G398" i="1" s="1"/>
  <c r="F399" i="1"/>
  <c r="G399" i="1" s="1"/>
  <c r="F400" i="1"/>
  <c r="G400" i="1" s="1"/>
  <c r="F401" i="1"/>
  <c r="F402" i="1"/>
  <c r="G402" i="1" s="1"/>
  <c r="F403" i="1"/>
  <c r="F404" i="1"/>
  <c r="F405" i="1"/>
  <c r="F406" i="1"/>
  <c r="F407" i="1"/>
  <c r="F408" i="1"/>
  <c r="G408" i="1" s="1"/>
  <c r="F409" i="1"/>
  <c r="G409" i="1" s="1"/>
  <c r="F410" i="1"/>
  <c r="G410" i="1" s="1"/>
  <c r="F411" i="1"/>
  <c r="G411" i="1" s="1"/>
  <c r="F412" i="1"/>
  <c r="G412" i="1" s="1"/>
  <c r="F413" i="1"/>
  <c r="G413" i="1" s="1"/>
  <c r="F414" i="1"/>
  <c r="G414" i="1" s="1"/>
  <c r="F415" i="1"/>
  <c r="G415" i="1" s="1"/>
  <c r="F416" i="1"/>
  <c r="G416" i="1" s="1"/>
  <c r="F417" i="1"/>
  <c r="G417" i="1" s="1"/>
  <c r="F418" i="1"/>
  <c r="G418" i="1" s="1"/>
  <c r="F419" i="1"/>
  <c r="G419" i="1" s="1"/>
  <c r="F420" i="1"/>
  <c r="G420" i="1" s="1"/>
  <c r="F421" i="1"/>
  <c r="G421" i="1" s="1"/>
  <c r="F422" i="1"/>
  <c r="G422" i="1" s="1"/>
  <c r="F423" i="1"/>
  <c r="G423" i="1" s="1"/>
  <c r="F424" i="1"/>
  <c r="G424" i="1" s="1"/>
  <c r="F425" i="1"/>
  <c r="F426" i="1"/>
  <c r="G426" i="1" s="1"/>
  <c r="F427" i="1"/>
  <c r="F428" i="1"/>
  <c r="F429" i="1"/>
  <c r="F430" i="1"/>
  <c r="F431" i="1"/>
  <c r="F432" i="1"/>
  <c r="G432" i="1" s="1"/>
  <c r="F433" i="1"/>
  <c r="G433" i="1" s="1"/>
  <c r="F434" i="1"/>
  <c r="G434" i="1" s="1"/>
  <c r="F435" i="1"/>
  <c r="G435" i="1" s="1"/>
  <c r="F436" i="1"/>
  <c r="G436" i="1" s="1"/>
  <c r="F437" i="1"/>
  <c r="G437" i="1" s="1"/>
  <c r="F438" i="1"/>
  <c r="G438" i="1" s="1"/>
  <c r="F439" i="1"/>
  <c r="G439" i="1" s="1"/>
  <c r="F440" i="1"/>
  <c r="G440" i="1" s="1"/>
  <c r="F441" i="1"/>
  <c r="G441" i="1" s="1"/>
  <c r="F442" i="1"/>
  <c r="G442" i="1" s="1"/>
  <c r="F443" i="1"/>
  <c r="G443" i="1" s="1"/>
  <c r="F444" i="1"/>
  <c r="G444" i="1" s="1"/>
  <c r="F445" i="1"/>
  <c r="G445" i="1" s="1"/>
  <c r="F446" i="1"/>
  <c r="G446" i="1" s="1"/>
  <c r="F447" i="1"/>
  <c r="G447" i="1" s="1"/>
  <c r="F448" i="1"/>
  <c r="G448" i="1" s="1"/>
  <c r="F449" i="1"/>
  <c r="F450" i="1"/>
  <c r="G450" i="1" s="1"/>
  <c r="F451" i="1"/>
  <c r="F452" i="1"/>
  <c r="F453" i="1"/>
  <c r="F454" i="1"/>
  <c r="F455" i="1"/>
  <c r="F456" i="1"/>
  <c r="G456" i="1" s="1"/>
  <c r="F457" i="1"/>
  <c r="G457" i="1" s="1"/>
  <c r="F458" i="1"/>
  <c r="G458" i="1" s="1"/>
  <c r="F459" i="1"/>
  <c r="G459" i="1" s="1"/>
  <c r="F460" i="1"/>
  <c r="G460" i="1" s="1"/>
  <c r="F461" i="1"/>
  <c r="G461" i="1" s="1"/>
  <c r="F462" i="1"/>
  <c r="G462" i="1" s="1"/>
  <c r="F463" i="1"/>
  <c r="G463" i="1" s="1"/>
  <c r="F464" i="1"/>
  <c r="G464" i="1" s="1"/>
  <c r="F465" i="1"/>
  <c r="G465" i="1" s="1"/>
  <c r="F466" i="1"/>
  <c r="G466" i="1" s="1"/>
  <c r="F467" i="1"/>
  <c r="G467" i="1" s="1"/>
  <c r="F468" i="1"/>
  <c r="G468" i="1" s="1"/>
  <c r="F469" i="1"/>
  <c r="G469" i="1" s="1"/>
  <c r="F470" i="1"/>
  <c r="G470" i="1" s="1"/>
  <c r="F471" i="1"/>
  <c r="G471" i="1" s="1"/>
  <c r="F472" i="1"/>
  <c r="G472" i="1" s="1"/>
  <c r="F473" i="1"/>
  <c r="F474" i="1"/>
  <c r="G474" i="1" s="1"/>
  <c r="F475" i="1"/>
  <c r="F476" i="1"/>
  <c r="F477" i="1"/>
  <c r="G477" i="1" s="1"/>
  <c r="F478" i="1"/>
  <c r="G478" i="1" s="1"/>
  <c r="F479" i="1"/>
  <c r="F480" i="1"/>
  <c r="G480" i="1" s="1"/>
  <c r="F481" i="1"/>
  <c r="G481" i="1" s="1"/>
  <c r="F482" i="1"/>
  <c r="G482" i="1" s="1"/>
  <c r="F483" i="1"/>
  <c r="G483" i="1" s="1"/>
  <c r="F484" i="1"/>
  <c r="G484" i="1" s="1"/>
  <c r="F485" i="1"/>
  <c r="G485" i="1" s="1"/>
  <c r="F486" i="1"/>
  <c r="G486" i="1" s="1"/>
  <c r="F487" i="1"/>
  <c r="G487" i="1" s="1"/>
  <c r="F488" i="1"/>
  <c r="G488" i="1" s="1"/>
  <c r="F489" i="1"/>
  <c r="G489" i="1" s="1"/>
  <c r="F490" i="1"/>
  <c r="G490" i="1" s="1"/>
  <c r="F491" i="1"/>
  <c r="G491" i="1" s="1"/>
  <c r="F492" i="1"/>
  <c r="G492" i="1" s="1"/>
  <c r="F493" i="1"/>
  <c r="G493" i="1" s="1"/>
  <c r="F494" i="1"/>
  <c r="G494" i="1" s="1"/>
  <c r="F495" i="1"/>
  <c r="G495" i="1" s="1"/>
  <c r="F496" i="1"/>
  <c r="G496" i="1" s="1"/>
  <c r="F497" i="1"/>
  <c r="F498" i="1"/>
  <c r="G498" i="1" s="1"/>
  <c r="F499" i="1"/>
  <c r="F500" i="1"/>
  <c r="F501" i="1"/>
  <c r="J6" i="1"/>
  <c r="J16" i="1"/>
  <c r="J76" i="1"/>
  <c r="J136" i="1"/>
  <c r="J196" i="1"/>
  <c r="J256" i="1"/>
  <c r="J316" i="1"/>
  <c r="J376" i="1"/>
  <c r="J436" i="1"/>
  <c r="J496" i="1"/>
  <c r="J21" i="1"/>
  <c r="J81" i="1"/>
  <c r="J141" i="1"/>
  <c r="J201" i="1"/>
  <c r="J261" i="1"/>
  <c r="J321" i="1"/>
  <c r="J381" i="1"/>
  <c r="J441" i="1"/>
  <c r="J501" i="1"/>
  <c r="J26" i="1"/>
  <c r="J86" i="1"/>
  <c r="J146" i="1"/>
  <c r="J206" i="1"/>
  <c r="J266" i="1"/>
  <c r="J326" i="1"/>
  <c r="J386" i="1"/>
  <c r="J446" i="1"/>
  <c r="J101" i="1"/>
  <c r="J161" i="1"/>
  <c r="J281" i="1"/>
  <c r="J341" i="1"/>
  <c r="J461" i="1"/>
  <c r="J46" i="1"/>
  <c r="J166" i="1"/>
  <c r="J286" i="1"/>
  <c r="J346" i="1"/>
  <c r="J466" i="1"/>
  <c r="J51" i="1"/>
  <c r="J171" i="1"/>
  <c r="J231" i="1"/>
  <c r="J291" i="1"/>
  <c r="J411" i="1"/>
  <c r="J471" i="1"/>
  <c r="J56" i="1"/>
  <c r="J176" i="1"/>
  <c r="J296" i="1"/>
  <c r="J356" i="1"/>
  <c r="J476" i="1"/>
  <c r="J61" i="1"/>
  <c r="J181" i="1"/>
  <c r="J241" i="1"/>
  <c r="J361" i="1"/>
  <c r="J421" i="1"/>
  <c r="J66" i="1"/>
  <c r="J186" i="1"/>
  <c r="J246" i="1"/>
  <c r="J306" i="1"/>
  <c r="J426" i="1"/>
  <c r="J486" i="1"/>
  <c r="J71" i="1"/>
  <c r="J131" i="1"/>
  <c r="J251" i="1"/>
  <c r="J311" i="1"/>
  <c r="J371" i="1"/>
  <c r="J491" i="1"/>
  <c r="J31" i="1"/>
  <c r="J91" i="1"/>
  <c r="J151" i="1"/>
  <c r="J211" i="1"/>
  <c r="J271" i="1"/>
  <c r="J331" i="1"/>
  <c r="J391" i="1"/>
  <c r="J451" i="1"/>
  <c r="J36" i="1"/>
  <c r="J96" i="1"/>
  <c r="J156" i="1"/>
  <c r="J216" i="1"/>
  <c r="J276" i="1"/>
  <c r="J336" i="1"/>
  <c r="J396" i="1"/>
  <c r="J456" i="1"/>
  <c r="J41" i="1"/>
  <c r="J221" i="1"/>
  <c r="J401" i="1"/>
  <c r="J106" i="1"/>
  <c r="J226" i="1"/>
  <c r="J406" i="1"/>
  <c r="J111" i="1"/>
  <c r="J351" i="1"/>
  <c r="J116" i="1"/>
  <c r="J236" i="1"/>
  <c r="J416" i="1"/>
  <c r="J121" i="1"/>
  <c r="J301" i="1"/>
  <c r="J481" i="1"/>
  <c r="J126" i="1"/>
  <c r="J366" i="1"/>
  <c r="J11" i="1"/>
  <c r="J191" i="1"/>
  <c r="J431" i="1"/>
  <c r="J504" i="1" l="1"/>
  <c r="K101" i="1" l="1"/>
  <c r="K501" i="1"/>
  <c r="K451" i="1"/>
  <c r="K351" i="1"/>
  <c r="K201" i="1"/>
  <c r="K401" i="1"/>
  <c r="K301" i="1"/>
  <c r="K503" i="1"/>
  <c r="K51" i="1"/>
  <c r="K251" i="1"/>
  <c r="K151" i="1"/>
  <c r="F2" i="1" l="1"/>
  <c r="G2" i="1" s="1"/>
  <c r="G503" i="1" s="1"/>
  <c r="G504" i="1" l="1"/>
</calcChain>
</file>

<file path=xl/sharedStrings.xml><?xml version="1.0" encoding="utf-8"?>
<sst xmlns="http://schemas.openxmlformats.org/spreadsheetml/2006/main" count="1045" uniqueCount="883">
  <si>
    <t>질문</t>
    <phoneticPr fontId="2" type="noConversion"/>
  </si>
  <si>
    <t>keyword 메타데이터답 (분류 : 조, 알파 = 1) + 요약</t>
    <phoneticPr fontId="2" type="noConversion"/>
  </si>
  <si>
    <t>답 (분류 : 조, 알파 = 0.7)</t>
    <phoneticPr fontId="2" type="noConversion"/>
  </si>
  <si>
    <t>답 (분류 : 조, 알파 = 0.5)</t>
    <phoneticPr fontId="2" type="noConversion"/>
  </si>
  <si>
    <t>답 (분류 : 조, 알파 = 0.3)</t>
    <phoneticPr fontId="2" type="noConversion"/>
  </si>
  <si>
    <t>답 (분류 : 조, 알파 = 0)</t>
    <phoneticPr fontId="2" type="noConversion"/>
  </si>
  <si>
    <t>해외제조업소 등록은 언제, 어떻게 신청해야 하나요?</t>
  </si>
  <si>
    <t>수입중단 조치는 어떤 경우에, 어떻게 이루어지나요?</t>
  </si>
  <si>
    <t>우수수입업소 등록 요건은 무엇인가요?</t>
  </si>
  <si>
    <t>위해 수입식품 등에 대한 과징금은 어떻게 산정하나요?</t>
  </si>
  <si>
    <t>과징금 통지를 받은 뒤에는 언제까지 납부해야 하나요?</t>
  </si>
  <si>
    <t>해외식품 위생평가기관으로 지정받으려면 어떤 절차와 서류가 필요한가요?</t>
  </si>
  <si>
    <t>“축산물”의 정의는?</t>
  </si>
  <si>
    <t>축산물위생심의위원회의 구성 인원 범위는 어떻게 되나요?</t>
  </si>
  <si>
    <t>새롭게 개발한 미생물 원료를 식품으로 사용하려면 어떤 기준을 따라야 하나요?</t>
  </si>
  <si>
    <t>병든 동물의 고기 중 어떤 질병에 해당되면 판매가 금지되나요?</t>
  </si>
  <si>
    <t>축산물 위생관리법 시행규칙(총리령) 제14조(영업자의 검사)</t>
  </si>
  <si>
    <t>지피티 답</t>
    <phoneticPr fontId="2" type="noConversion"/>
  </si>
  <si>
    <t>국가가축방역통합정보시스템은 어떤 정보들을 다룹니까?</t>
  </si>
  <si>
    <t>중점방역관리지구는 어떤 기준과 절차에 따라 지정되며, 이 지역 내 사육자나 지방자치단체는 어떤 방역설비를 갖추고 어떤 행정 절차를 이행해야 하나요?</t>
  </si>
  <si>
    <t>가축전염병 방역을 위한 공무원 및 위원회 구성은 어떤 자격 기준과 운영 절차를 따라야 하나요?</t>
  </si>
  <si>
    <t>아프리카돼지열병이 발생한 국가에서 귀국한 사람이 공항에 도착했을 때, 어떤 서류를 제출하고 어떤 조치를 받아야 하나요?</t>
  </si>
  <si>
    <t>제조·수입·판매업자가 제품에 표시해야 하는 사항과, 표시 위반 시 적용되는 행정처분은 무엇인가?</t>
  </si>
  <si>
    <t>농약생산실적 보고서를 정해진 기한까지 제출하지 않은 경우, 과태료 금액 산정 기준은 어떻게 규정되어 있는가?</t>
  </si>
  <si>
    <t>수입농약 품목등록 심사 중 특정 회사의 등록이 불허된 경우, 불허 사유 통지부터 이의신청·재심사 요청 절차 과정에서 활용되는 행정정보 공동이용 규정이 어떻게 되는가?</t>
  </si>
  <si>
    <t>제품등록 유효기간 및 재등록 절차는 어떻게 규정되어 있으며, 재등록 신청 시 일부 서류 면제 근거는 무엇인가?</t>
  </si>
  <si>
    <t>수입농약 품목등록 심사 중 신청서류 반려 시 반려 사유 통지 근거와 행정정보 공동이용 규정은 어떻게 되는가?</t>
  </si>
  <si>
    <t>제조업·원제업·수입업 등록을 위해 갖추어야 할 인력·시설·장비 기준은 무엇인가?</t>
  </si>
  <si>
    <t>먹는샘물 제조업 허가 신청 시 충족해야 할 인력·시설·장비 기준과 함께 제출해야 할 서류는 무엇인가요?</t>
  </si>
  <si>
    <t>약수터 등의 공동시설에 대한 관리는 어떻게 해야하나요?</t>
  </si>
  <si>
    <t>영업정지 대신 과징금을 부과할 때 산정 기준은 무엇인가요?</t>
  </si>
  <si>
    <t>품질관리교육은 어떤 내용으로 구성되며 주기는 어떻게 되나요?</t>
  </si>
  <si>
    <t>영업 미준수로 인한 폐쇄조치 시 어떤 조치를 할 수 있으며, 게시 의무는 어떻게 되나요?</t>
  </si>
  <si>
    <t>사료제조업 등록 시 어떤 절차와 양식을 갖추어야 하는가?</t>
  </si>
  <si>
    <t>사료 성분등록을 위해 어떤 서류를 제출해야 하는가?</t>
  </si>
  <si>
    <t>제조·수입된 사료의 용기나 포장에 어떤 표시사항을 적어야 하는가?</t>
  </si>
  <si>
    <t>위해요소중점관리기준 적용 사료공장으로 지정받으려면 어떤 요건을 충족해야 하는가?</t>
  </si>
  <si>
    <t>수출목적으로 제조한 사료의 법 적용 배제 기준은 무엇인가?</t>
  </si>
  <si>
    <t>사료를 용도 외로 판매해서는 안 되는 근거와 예외 용도는 어떤 것들인가?</t>
  </si>
  <si>
    <t>사료 수입신고를 위해 제출해야 하는 서류는 무엇인가?</t>
  </si>
  <si>
    <t>사료검사의 종류는 어떻게 구분되는가?</t>
  </si>
  <si>
    <t>사료제조업자가 시설을 변경하려면 어떤 절차를 따라야 하는가?</t>
  </si>
  <si>
    <t>사슴을 자가소비 목적으로 도살·처리할 경우 어떤 절차를 따라야 하나요?</t>
  </si>
  <si>
    <t>작업장의 자체위생관리기준 점검 기록은 얼마나 보관해야 하나요?</t>
  </si>
  <si>
    <t>HACCP 인증을 받은 영업자에게 정기적인 교육이 필요한가요?</t>
  </si>
  <si>
    <t>축산물 가공기준이 없는 경우에도 유통이 가능한가요?</t>
  </si>
  <si>
    <t>축산물위생심의위원회의 위원장과 부위원장은 어떤 업무를 담당하나요?</t>
  </si>
  <si>
    <t>위원의 제척·기피·회피 사유에는 어떤 것들이 있나요?</t>
  </si>
  <si>
    <t>간사는 어떤 역할을 하나요?</t>
  </si>
  <si>
    <t>시험·검사기관이 지정 유효기간이 만료되기 전에 지정 연장을 받으려면 언제까지, 어떤 방식으로 신청해야 하나요?</t>
  </si>
  <si>
    <t>시험·검사기관의 대표자나 명칭이 변경된 경우, 언제까지 어디에 어떻게 신고해야 하나요?</t>
  </si>
  <si>
    <t>HACCP 적용 수입식품의 시험·검사를 국외 기관에 위탁하려면 어떤 기관이 가능하며, 해당 기관은 어떤 요건을 갖추어야 지정될 수 있나요?</t>
  </si>
  <si>
    <t>우수시험·검사기관으로 지정받기 위해 갖추어야 할 자격 요건은 무엇이며, 지정 절차는 어떻게 되나요?</t>
  </si>
  <si>
    <t>시험·검사기관의 대표자 및 인력을 교육하는 교육기관으로 지정받기 위해 필요한 조건과 지정 절차는 무엇인가요?</t>
  </si>
  <si>
    <t>시험·검사기관의 지정이 취소된 후에도 불법적으로 검사업무를 계속하면 어떤 행정조치를 받게 되며, 그 절차와 범위는 어떻게 되나요?</t>
  </si>
  <si>
    <t>시험·검사기관이 지정 취소 또는 업무 정지를 받을 수 있는 사유는 무엇이며, 그에 따른 행정처분 기준은 어떻게 정해지나요?</t>
  </si>
  <si>
    <t>시험·검사기관이 의뢰받은 시험을 수행한 후 결과가 부적합한 경우, 어떤 절차와 방식으로 보고·통보해야 하나요?</t>
  </si>
  <si>
    <t>시험·검사기관은 어떤 방식으로 능력 평가를 받으며, 평가 결과가 미흡할 경우 어떤 후속 조치를 이행해야 하나요?</t>
  </si>
  <si>
    <t>시험·검사기관으로 지정받은 후 시설이나 장비를 변경하거나 추가 설치하려면 어떤 절차를 거쳐야 하나요?</t>
  </si>
  <si>
    <t>건강기능식품제조업 허가 신청 시 필요한 서류와 제출 대상은 어떻게 되나요?</t>
  </si>
  <si>
    <t>건강기능식품 제조업 허가 후, 영업소 소재지를 변경하려면 어떤 절차와 서류가 필요한가요?</t>
  </si>
  <si>
    <t>건강기능식품의 품목제조신고 시 제출해야 하는 구체적 서류는?</t>
  </si>
  <si>
    <t>품질관리인을 선임하려면 어떤 자격을 갖춘 사람을 어떻게 신고해야 하나요?</t>
  </si>
  <si>
    <t>건강기능식품을 판매하는 영업자는 제품을 어떤 기준에 따라 보관·운반해야 하며, 이를 위반하면 어떤 조치를 받을 수 있나요?</t>
  </si>
  <si>
    <t>맞춤형건강기능식품판매업을 하려면 어떤 인력을 선임해야 하고, 그 자격 요건은?</t>
  </si>
  <si>
    <t>품질관리인은 어떤 의무사항(예: 기록·보관 등)을 이행해야 하고 그 기준은 무엇인가요?</t>
  </si>
  <si>
    <t>HACCP 기준 적용을 위해 작성해야 하는 ‘제조관리기준서’와 ‘품질관리기준서’는 누구에게 언제 제출하나요?</t>
  </si>
  <si>
    <t>이상사례(부작용 등)를 발견했을 때 보고 절차와 위탁기관은 어떻게 되나요?</t>
  </si>
  <si>
    <t>영업자가 사망하거나 법인이 합병된 경우, 지위 승계를 위한 신고는 누가, 언제, 어디에 어떻게 해야 하나요?</t>
  </si>
  <si>
    <t>해외제조업소 등록의 연장 절차는 어떻게 되나요?</t>
  </si>
  <si>
    <t>수입식품등 관련 영업의 종류와 범위는 어떻게 되나요?</t>
  </si>
  <si>
    <t>행정응원의 요청 시 식품의약품안전처장이 통보해야 할 사항에는 무엇이 있나요?</t>
  </si>
  <si>
    <t>어떤 요건일때에 영업정지 처분을 내릴 수 있나요?</t>
  </si>
  <si>
    <t>HACCP 업소가 자가품질검사 의무에서 면제되려면 어떤 기준을 충족해야 하나요?</t>
  </si>
  <si>
    <t>검사명령을 받은 영업자는 무엇을 이행해야 하나요?</t>
  </si>
  <si>
    <t>안전에 문제가 있는(위해) 식품이 발견되면 정부는 어떻게 대응하나요?</t>
  </si>
  <si>
    <t>유전자변형식품(GMO)을 판매하려면 어떤 표시를 해야 하나요?</t>
  </si>
  <si>
    <t>‘음식점 영업’이란 어떤 업종을 말하나요?</t>
  </si>
  <si>
    <t>책임보험에 가입하거나 재가입해야 하는 경우는 무엇인가요?</t>
  </si>
  <si>
    <t>자율지도원의 주요 직무는 어떻게 되나요?</t>
  </si>
  <si>
    <t>위생등급 지정 업무를 위탁받는 기관은 어디인가요</t>
  </si>
  <si>
    <t>매년 사업계획서와 결산서는 언제까지 제출해야 하고, 승인 절차는 어떻게 진행되나요?</t>
  </si>
  <si>
    <t>식약처장이 인증원에 대해서 보고나 명령, 검사를 하려면 어떤 절차를 따라야 하나요?</t>
  </si>
  <si>
    <t>부속기관을 새로 설치할 때 어떤 요건을 충족해야 하나요?</t>
  </si>
  <si>
    <t>이사회 회의를 소집할 때 통지 기간과 방법이 정해져있나요?</t>
  </si>
  <si>
    <t>사업계획을 변경하려면 어떤 절차를 거쳐야 하나요?</t>
  </si>
  <si>
    <t>상임임원 변경 시 이사회에서 거쳐야 할 절차는 무엇인가요?</t>
  </si>
  <si>
    <t>인증원의 운영 재원은 무엇인가요?</t>
  </si>
  <si>
    <t>직원이 직무상 알게 된 비밀을 누설하면 어떤 처벌이 내려지나요?</t>
  </si>
  <si>
    <t>인증원 명칭을 무단으로 사용한 경우 과태료 부과 기준은 어디에 규정되어 있나요?</t>
  </si>
  <si>
    <t>이사회의 역할은 무엇인가요?</t>
  </si>
  <si>
    <t>가축전염병이 발생했을 때, 농장주, 시장·군수·구청장, 농림축산식품부장관은 각각 어떤 의무와 조치를 취해야 하나요?</t>
    <phoneticPr fontId="2" type="noConversion"/>
  </si>
  <si>
    <t>외국에서 가축전염병이 발생한 경우, 입국자와 방역기관은 어떤 절차와 조치를 따라야 하나요?</t>
    <phoneticPr fontId="2" type="noConversion"/>
  </si>
  <si>
    <t>가축전염병 관련 정보공개는 어떤 경우에 누구의 책임으로, 어떤 정보까지 공개되어야 하나요?</t>
    <phoneticPr fontId="2" type="noConversion"/>
  </si>
  <si>
    <t>가축사육시설 폐쇄 또는 제한 명령은 어떤 기준과 절차로 내려지고, 관련 정보는 어디까지 통보되어야 하나요?</t>
    <phoneticPr fontId="2" type="noConversion"/>
  </si>
  <si>
    <t>방역심의회는 어떤 사안들을 심의하며, 중앙과 지방 심의회에는 어떤 사람들이 참여하나요?</t>
    <phoneticPr fontId="2" type="noConversion"/>
  </si>
  <si>
    <t>중점방역관리지구에서 닭을 키우려면 어떤 시설을 반드시 갖추어야 하나요?</t>
    <phoneticPr fontId="2" type="noConversion"/>
  </si>
  <si>
    <t>항공방제업자가 영업소 폐쇄명령을 받을 수 있는 근거 조항과, 해당 명령에 대한 청문 절차는 어떻게 규정되어 있는가?</t>
    <phoneticPr fontId="2" type="noConversion"/>
  </si>
  <si>
    <t>영업소 폐쇄명령을 위해 필요한 청문 절차 및 권한 위임 규정은 어떻게 되어 있는가?</t>
    <phoneticPr fontId="2" type="noConversion"/>
  </si>
  <si>
    <t>제조업자나 수입업자가 결격사유에 해당하게 될 때 해당 등록취소 권한과 지위승계 신고 의무는 어떻게 규정되어 있는가</t>
    <phoneticPr fontId="2" type="noConversion"/>
  </si>
  <si>
    <t>행정처분(영업정지·취소 등)의 권한 위임 대상과 재위임·위탁 절차는 어떻게 규정되어 있는가</t>
    <phoneticPr fontId="2" type="noConversion"/>
  </si>
  <si>
    <t>수입 먹는샘물을 신고하려면 어떤 서류를 제출하고 검사를 받아야 하나요?</t>
    <phoneticPr fontId="2" type="noConversion"/>
  </si>
  <si>
    <t>샘물 개발 임시 허가의 유효기간은 얼마이며, 연장하려면 어떤 절차가 필요한가요?</t>
    <phoneticPr fontId="2" type="noConversion"/>
  </si>
  <si>
    <t>품질관리인의 자격 기준은 어떻게 정해져 있나요?</t>
    <phoneticPr fontId="2" type="noConversion"/>
  </si>
  <si>
    <t>조건부 영업허가의 기간과 연장 한도는 어떻게 되나요?</t>
    <phoneticPr fontId="2" type="noConversion"/>
  </si>
  <si>
    <t>영업 지위 승계 후 신고 기한과 방법은 무엇인가요?</t>
    <phoneticPr fontId="2" type="noConversion"/>
  </si>
  <si>
    <t>자가품질검사를 실시한 경우 기록서를 몇 년간 보관해야 하는가?</t>
    <phoneticPr fontId="2" type="noConversion"/>
  </si>
  <si>
    <t>식육에 관한 불법행위로는 어떤것이 존재하나요?</t>
    <phoneticPr fontId="2" type="noConversion"/>
  </si>
  <si>
    <t>가축전염병 예방법</t>
  </si>
  <si>
    <t>농약관리법</t>
  </si>
  <si>
    <t>먹는물관리법</t>
  </si>
  <si>
    <t>사료관리법</t>
  </si>
  <si>
    <t>축산물 위생관리법</t>
  </si>
  <si>
    <t xml:space="preserve">식품ㆍ의약품분야 시험ㆍ검사 등에 관한 법률 </t>
  </si>
  <si>
    <t xml:space="preserve">건강기능식품에 관한 법률 </t>
  </si>
  <si>
    <t>수입식품안전관리 특별법</t>
  </si>
  <si>
    <t>식품위생법</t>
  </si>
  <si>
    <t>한국식품안전관리인증원의 설립 및 운영에 관한 법률</t>
  </si>
  <si>
    <t>가축전염병 예방법(법률) 제3조의2 3항, 4항</t>
  </si>
  <si>
    <t>가축전염병 예방법 시행령(대통령령) 11조 5항</t>
  </si>
  <si>
    <t>가축전염병 예방법(법률) 5조 5항, 6항, 7항</t>
  </si>
  <si>
    <t>가축전염병 예방법 시행령(대통령령) 2조의5</t>
  </si>
  <si>
    <t>가축전염병 예방법(법률) 제3조의2 제1·3항</t>
  </si>
  <si>
    <t xml:space="preserve">가축전염병 예방법 시행규칙 제3조의3 </t>
  </si>
  <si>
    <t>가축전염병 예방법(법률) 제19조 4항</t>
  </si>
  <si>
    <t xml:space="preserve">가축전염병 예방법 시행령(대통령령) 제6조 </t>
  </si>
  <si>
    <t>가축전염병 예방법(법률) 제3조의3</t>
  </si>
  <si>
    <t>가축전염병 예방법 시행규칙 제3조의4 1항, 2항</t>
  </si>
  <si>
    <t>가축전염병 예방법(법률) 제3조의4</t>
  </si>
  <si>
    <t>가축전염병 예방법 시행규칙 제3조의5 1항, 2항, 3항, 4항</t>
  </si>
  <si>
    <t>가축전염병 예방법(법률) 제4조 제 2항, 4항</t>
  </si>
  <si>
    <t>가축전염병 예방법(법률) 제4조 1항, 3항</t>
  </si>
  <si>
    <t>가축전염병 예방법 시행령(대통령령) 제3조</t>
  </si>
  <si>
    <t>가축전염병 예방법 (법률) 제5조제5항, 제6항</t>
  </si>
  <si>
    <t>가축전염병 예방법(법률) 제3조의4 3항</t>
  </si>
  <si>
    <t>가축전염병 예방법 시행규칙 제3조의5 제4항</t>
  </si>
  <si>
    <t>농약관리법(법률) 제7조제3항</t>
  </si>
  <si>
    <t>농약관리법(법률) 제29조제1항</t>
  </si>
  <si>
    <t>농약관리법(법률) 제25조제1항</t>
  </si>
  <si>
    <t>농약관리법 시행령 제23조</t>
  </si>
  <si>
    <t>농약관리법(법률) 제40조제1항</t>
  </si>
  <si>
    <t>농약관리법(법률) 제40조제2항</t>
  </si>
  <si>
    <t>농약관리법(법률) 제9조제3항</t>
  </si>
  <si>
    <t>농약관리법 시행규칙 제3조제1항</t>
  </si>
  <si>
    <t>농약관리법(법률) 제17조의3제1항</t>
  </si>
  <si>
    <t>농약관리법(법률) 제17조의3제3항</t>
  </si>
  <si>
    <t>농약관리법 시행규칙 제16조제2항</t>
  </si>
  <si>
    <t>농약관리법 시행령 제22조제2항</t>
  </si>
  <si>
    <t>농약관리법(법률) 제5조제1항</t>
  </si>
  <si>
    <t>농약관리법(법률) 제7조제1항</t>
  </si>
  <si>
    <t>농약관리법(법률) 제3조제5항</t>
  </si>
  <si>
    <t>농약관리법 시행규칙 제6조제1항</t>
  </si>
  <si>
    <t xml:space="preserve">농약관리법(법률) 제31조제1항 </t>
  </si>
  <si>
    <t>농약관리법 시행령 제22조제3항</t>
  </si>
  <si>
    <t>농약관리법(법률) 제20조제1항</t>
  </si>
  <si>
    <t>농약관리법(법률) 제20조제2항</t>
  </si>
  <si>
    <t>농약관리법(법률) 제20조제3항</t>
  </si>
  <si>
    <t>농약관리법(법률) 제21조제1항</t>
  </si>
  <si>
    <t>먹는물관리법(법률) 제20조</t>
  </si>
  <si>
    <t>먹는물관리법(법률) 제21조제1항</t>
  </si>
  <si>
    <t>먹는물관리법 시행규칙 제10조제1항</t>
  </si>
  <si>
    <t>먹는물관리법(법률) 제26조제1항</t>
  </si>
  <si>
    <t>먹는물관리법 시행규칙 제16조제1항</t>
  </si>
  <si>
    <t>먹는물관리법(법률) 제10조제1항</t>
  </si>
  <si>
    <t>먹는물관리법 시행규칙 제4조제1항</t>
  </si>
  <si>
    <t>먹는물관리법(법률) 제8조제1항</t>
  </si>
  <si>
    <t>먹는물관리법 시행규칙 제2조제2항</t>
  </si>
  <si>
    <t>먹는물관리법(법률) 제51조제1항</t>
  </si>
  <si>
    <t>먹는물관리법 시행령 제19조제1항</t>
  </si>
  <si>
    <t>먹는물관리법 제27조제4항</t>
  </si>
  <si>
    <t>먹는물관리법 시행령 제6조</t>
  </si>
  <si>
    <t>먹는물관리법 제28조제3항</t>
  </si>
  <si>
    <t>먹는물관리법 시행규칙 제17조제1항</t>
  </si>
  <si>
    <t>먹는물관리법(법률) 제23조제1항,</t>
  </si>
  <si>
    <t>먹는물관리법 시행규칙 제13조제1항</t>
  </si>
  <si>
    <t>먹는물관리법(법률) 제25조제1항</t>
  </si>
  <si>
    <t>먹는물관리법(법률) 제25조제2항</t>
  </si>
  <si>
    <t>먹는물관리법(법률) 제25조제3항</t>
  </si>
  <si>
    <t>먹는물관리법 시행규칙 제15조제1항</t>
  </si>
  <si>
    <t>먹는물관리법(법률) 제46조제1항</t>
  </si>
  <si>
    <t>먹는물관리법 시행규칙 제40조제1항</t>
  </si>
  <si>
    <t>사료관리법(법률) 제8조제1항</t>
  </si>
  <si>
    <t>사료관리법 시행규칙 제5조제1항</t>
  </si>
  <si>
    <t>사료관리법(법률) 제12조제1항</t>
  </si>
  <si>
    <t>사료관리법 시행규칙 제12조제1항</t>
  </si>
  <si>
    <t>사료관리법(법률) 제13조제1항</t>
  </si>
  <si>
    <t>사료관리법 시행규칙 제14조제1항</t>
  </si>
  <si>
    <t>사료관리법(법률) 제16조제3항</t>
  </si>
  <si>
    <t>사료관리법 시행규칙 제16조제1항</t>
  </si>
  <si>
    <t>사료관리법(법률) 제4조제1항</t>
  </si>
  <si>
    <t>사료관리법 시행규칙 제3조제1항</t>
  </si>
  <si>
    <t>사료관리법(법률) 제7조제1항</t>
  </si>
  <si>
    <t>사료관리법 시행규칙 제4조제1항</t>
  </si>
  <si>
    <t>사료관리법(법률) 제19조제1항</t>
  </si>
  <si>
    <t>사료관리법(법률) 제20조제4항</t>
  </si>
  <si>
    <t>사료관리법 시행규칙 제35조</t>
  </si>
  <si>
    <t>사료관리법(법률) 제21조제1항</t>
  </si>
  <si>
    <t>사료관리법(법률) 제21조제2항</t>
  </si>
  <si>
    <t>시행규칙 제23조</t>
  </si>
  <si>
    <t>사료관리법(법률) 제8조제2항</t>
  </si>
  <si>
    <t>사료관리법(법률) 제8조제3항</t>
  </si>
  <si>
    <t>사료관리법 시행규칙 제7조제2항</t>
  </si>
  <si>
    <t>축산물 위생관리법(법률) 제7조</t>
  </si>
  <si>
    <t>축산물 위생관리법 시행규칙(총리령) 제6조제4항</t>
  </si>
  <si>
    <t>축산물 위생관리법 시행규칙(총리령) 제7조의4 제1항 제1호</t>
  </si>
  <si>
    <t>축산물 위생관리법(법률) 제4조제3항</t>
  </si>
  <si>
    <t>축산물 위생관리법 시행규칙(총리령) 제3조제1항</t>
  </si>
  <si>
    <t>축산물 위생관리법 시행령(대통령령) 제6조 제2항, 제3항</t>
  </si>
  <si>
    <t>축산물 위생관리법 시행령(대통령령) 제6조의3 제1항, 제2항, 제3항</t>
  </si>
  <si>
    <t>축산물 위생관리법 시행령(대통령령) 제10조</t>
  </si>
  <si>
    <t>축산물 위생관리법(법률) 제2조 제2호</t>
  </si>
  <si>
    <t>축산물 위생관리법(법률) 제3조의2 3항, 4항, 5항, 6항, 9항</t>
  </si>
  <si>
    <t>축산물 위생관리법(법률) 제 45조</t>
  </si>
  <si>
    <t>식품ㆍ의약품분야 시험ㆍ검사 등에 관한 법률(법률) 제6조 제5항</t>
  </si>
  <si>
    <t>식품ㆍ의약품분야 시험ㆍ검사 등에 관한 법률 시행규칙(총리령) 제5조 제1항, 제2항</t>
  </si>
  <si>
    <t>식품ㆍ의약품분야 시험ㆍ검사 등에 관한 법률(법률) 제8조 제1항, 제2항, 제3항</t>
  </si>
  <si>
    <t>식품ㆍ의약품분야 시험ㆍ검사 등에 관한 법률 시행규칙 제7조 제1항, 제2항</t>
  </si>
  <si>
    <t>식품ㆍ의약품분야 시험ㆍ검사 등에 관한 법률 제13조 제1항, 제2항</t>
  </si>
  <si>
    <t>식품ㆍ의약품분야 시험ㆍ검사 등에 관한 법률 시행규칙(총리령) 제16조 제2항</t>
  </si>
  <si>
    <t>식품ㆍ의약품분야 시험ㆍ검사 등에 관한 법률(법률) 제18조 제1항</t>
  </si>
  <si>
    <t>식품ㆍ의약품분야 시험ㆍ검사 등에 관한 법률 시행규칙(총리령) 제22조 제1항, 제3항</t>
  </si>
  <si>
    <t>식품ㆍ의약품분야 시험ㆍ검사 등에 관한 법률(법률) 제19조 제1항~제5항</t>
  </si>
  <si>
    <t>식품ㆍ의약품분야 시험ㆍ검사 등에 관한 법률(법률)제10조 제1항, 제4항</t>
  </si>
  <si>
    <t>식품ㆍ의약품분야 시험ㆍ검사 등에 관한 법률 시행규칙(총리령 제10조 제1항</t>
  </si>
  <si>
    <t>식품ㆍ의약품분야 시험ㆍ검사 등에 관한 법률(법률) 제11조 제3항</t>
  </si>
  <si>
    <t>식품ㆍ의약품분야 시험ㆍ검사 등에 관한 법률(법률) 제16조 제1항, 제2항</t>
  </si>
  <si>
    <t>식품ㆍ의약품분야 시험ㆍ검사 등에 관한 법률 시행규칙(총리령) 제20조 제1항~제7항</t>
  </si>
  <si>
    <t>식품ㆍ의약품분야 시험ㆍ검사 등에 관한 법률 시행규칙(총리령) 제4조 제1항, 제2항</t>
  </si>
  <si>
    <t>건강기능식품에 관한 법률(법률) 제5조 제1항</t>
  </si>
  <si>
    <t xml:space="preserve">건강기능식품에 관한 법률 시행령(대통령령) 제2조 </t>
  </si>
  <si>
    <t>건강기능식품에 관한 법률 시행규칙(총리령) 제3조 제1항</t>
  </si>
  <si>
    <t>건강기능식품에 관한 법률 제5조 제2항</t>
  </si>
  <si>
    <t>건강기능식품에 관한 법률 시행령(대통령령) 제3조</t>
  </si>
  <si>
    <t>건강기능식품에 관한 법률 시행규칙(총리령) 제4조 제2항</t>
  </si>
  <si>
    <t>건강기능식품에 관한 법률(법률) 제7조</t>
  </si>
  <si>
    <t>건강기능식품에 관한 법률 시행규칙(총리령) 제8조 제1항</t>
  </si>
  <si>
    <t>건강기능식품에 관한 법률(법률) 제12조 제1항, 제4항</t>
  </si>
  <si>
    <t>건강기능식품에 관한 법률 시행령(대통령령) 제4조</t>
  </si>
  <si>
    <t>건강기능식품에 관한 법률 시행규칙(총리령) 제16조</t>
  </si>
  <si>
    <t>건강기능식품에 관한 법률 제10조 제1항</t>
  </si>
  <si>
    <t>건강기능식품에 관한 법률 시행규칙(총리령) 제12조</t>
  </si>
  <si>
    <t>건강기능식품에 관한 법률 제12조의3 제1항, 제4항, 제8항</t>
  </si>
  <si>
    <t>건강기능식품에 관한 법률 시행령(대통령령) 제5조의2</t>
  </si>
  <si>
    <t>건강기능식품에 관한 법률 시행규칙(총리령) 제16조의3</t>
  </si>
  <si>
    <t>건강기능식품에 관한 법률(법률) 제12조 제8항, 제22조 제1항</t>
  </si>
  <si>
    <t>건강기능식품에 관한 법률 시행령(대통령령) 제5조</t>
  </si>
  <si>
    <t>건강기능식품에 관한 법률 시행규칙(총리령) 제16조의2, 제25조의4 제1항</t>
  </si>
  <si>
    <t>건강기능식품에 관한 법률 시행규칙(총리령) 제3조 제1항, 제25조의4 제2항</t>
  </si>
  <si>
    <t>건강기능식품에 관한 법률(법률) 제10조의2 제1항, 제4항</t>
  </si>
  <si>
    <t>건강기능식품에 관한 법률 시행령(대통령령) 제3조의3</t>
  </si>
  <si>
    <t>건강기능식품에 관한 법률 시행규칙(총리령) 제13조의2</t>
  </si>
  <si>
    <t>건강기능식품에 관한 법률(법률) 제11조 제1항~제3항</t>
  </si>
  <si>
    <t>건강기능식품에 관한 법률 시행규칙(총리령) 제14조 제1항</t>
  </si>
  <si>
    <t>수입식품안전관리 특별법 법률 제5조 제1항</t>
  </si>
  <si>
    <t>수입식품안전관리 특별법 시행규칙 제2조 제1항</t>
  </si>
  <si>
    <t>수입식품안전관리 특별법 시행규칙 제2조 제2항</t>
  </si>
  <si>
    <t>수입식품안전관리 특별법 법률 제5조 제6항</t>
  </si>
  <si>
    <t>수입식품안전관리 특별법 법률 제5조 제7항</t>
  </si>
  <si>
    <t>수입식품안전관리 특별법 시행규칙 제2조 제4항</t>
  </si>
  <si>
    <t>수입식품안전관리 특별법 시행규칙 제2조 제5항</t>
  </si>
  <si>
    <t>수입식품안전관리 특별법 법률 제6조 제2항</t>
  </si>
  <si>
    <t>수입식품안전관리 특별법 시행규칙 제3조 제1항</t>
  </si>
  <si>
    <t>수입식품안전관리 특별법 시행규칙 제3조 제2항</t>
  </si>
  <si>
    <t>수입식품안전관리 특별법 법률 제7조 제1항</t>
  </si>
  <si>
    <t>수입식품안전관리 특별법 법률 제7조 제2항</t>
  </si>
  <si>
    <t>수입식품안전관리 특별법 법률 제7조 제3항</t>
  </si>
  <si>
    <t>수입식품안전관리 특별법 시행규칙 제4조 제1항</t>
  </si>
  <si>
    <t>수입식품안전관리 특별법 법률 제14조 제1항</t>
  </si>
  <si>
    <t>수입식품안전관리 특별법 법률 제14조 제2항</t>
  </si>
  <si>
    <t>수입식품안전관리 특별법 시행령 제2조</t>
  </si>
  <si>
    <t>수입식품안전관리 특별법 법률 제25조 제2항</t>
  </si>
  <si>
    <t>수입식품안전관리 특별법 시행령 제6조 제1항</t>
  </si>
  <si>
    <t xml:space="preserve">수입식품안전관리 특별법 법률 제29조 제1항 </t>
  </si>
  <si>
    <t xml:space="preserve">수입식품안전관리 특별법 법률 제34조 </t>
    <phoneticPr fontId="2" type="noConversion"/>
  </si>
  <si>
    <t>수입식품안전관리 특별법 시행령 제12조</t>
    <phoneticPr fontId="2" type="noConversion"/>
  </si>
  <si>
    <t>수입식품안전관리 특별법 시행령 제10조 제1항</t>
  </si>
  <si>
    <t>수입식품안전관리 특별법 시행령 제10조 제2항</t>
  </si>
  <si>
    <t>수입식품안전관리 특별법 시행규칙 제7조 제2항</t>
  </si>
  <si>
    <t>식품위생법 법률 제7조 제1항</t>
  </si>
  <si>
    <t>식품위생법 법률 제7조 제2항</t>
  </si>
  <si>
    <t>식품위생법 법률 제5조</t>
  </si>
  <si>
    <t>식품위생법 법률 제31조의2</t>
  </si>
  <si>
    <t>식품위생법 법률 제19조의4 제2항</t>
  </si>
  <si>
    <t>식품위생법 법률 제17조 제1항</t>
  </si>
  <si>
    <t>식품위생법 법률 제17조 제2항</t>
  </si>
  <si>
    <t>식품위생법 법률 제17조 제3항</t>
  </si>
  <si>
    <t>식품위생법 법률 제12조의2 제1항</t>
  </si>
  <si>
    <t>식품위생법 법률 제12조의2 제2항</t>
  </si>
  <si>
    <t>식품위생법 법률 제12조의2 제3항</t>
  </si>
  <si>
    <t>식품위생법 법률 제44조의2 제1항</t>
  </si>
  <si>
    <t>식품위생법 법률 제44조의2 제2항</t>
  </si>
  <si>
    <t>한국식품안전관리인증원의 설립 및 운영에 관한 법률 제10조</t>
  </si>
  <si>
    <t>한국식품안전관리인증원의 설립 및 운영에 관한 법률 제11조</t>
  </si>
  <si>
    <t>한국식품안전관리인증원의 설립 및 운영에 관한 법률 제17조</t>
  </si>
  <si>
    <t>한국식품안전관리인증원의 설립 및 운영에 관한 법률 제20조 제1항</t>
  </si>
  <si>
    <t>한국식품안전관리인증원의 설립 및 운영에 관한 법률 제20조 제2항</t>
  </si>
  <si>
    <t>한국식품안전관리인증원의 설립 및 운영에 관한 법률 시행령 제4조</t>
  </si>
  <si>
    <t>한국식품안전관리인증원의 설립 및 운영에 관한 법률 제8조 제1항</t>
  </si>
  <si>
    <t>한국식품안전관리인증원의 설립 및 운영에 관한 법률 제15조</t>
  </si>
  <si>
    <t>한국식품안전관리인증원의 설립 및 운영에 관한 법률 제19조</t>
  </si>
  <si>
    <t xml:space="preserve">가축전염병 예방법(법률) 제3조의2 </t>
    <phoneticPr fontId="2" type="noConversion"/>
  </si>
  <si>
    <t xml:space="preserve">가축전염병 예방법(법률) 제19조 </t>
    <phoneticPr fontId="2" type="noConversion"/>
  </si>
  <si>
    <t xml:space="preserve">가축전염병 예방법(법률) 제4조 </t>
    <phoneticPr fontId="2" type="noConversion"/>
  </si>
  <si>
    <t>가축전염병 예방법 (법률) 제5조</t>
    <phoneticPr fontId="2" type="noConversion"/>
  </si>
  <si>
    <t xml:space="preserve">가축전염병 예방법(법률) 제3조의4 </t>
    <phoneticPr fontId="2" type="noConversion"/>
  </si>
  <si>
    <t>농약관리법(법률) 제20조</t>
    <phoneticPr fontId="2" type="noConversion"/>
  </si>
  <si>
    <t>농약관리법(법률) 제21조</t>
    <phoneticPr fontId="2" type="noConversion"/>
  </si>
  <si>
    <t>농약관리법(법률) 제7조</t>
    <phoneticPr fontId="2" type="noConversion"/>
  </si>
  <si>
    <t>농약관리법(법률) 제29조</t>
    <phoneticPr fontId="2" type="noConversion"/>
  </si>
  <si>
    <t>농약관리법(법률) 제25조</t>
    <phoneticPr fontId="2" type="noConversion"/>
  </si>
  <si>
    <t>농약관리법(법률) 제40조</t>
    <phoneticPr fontId="2" type="noConversion"/>
  </si>
  <si>
    <t>농약관리법(법률) 제9조</t>
    <phoneticPr fontId="2" type="noConversion"/>
  </si>
  <si>
    <t>농약관리법(법률) 제17조의3</t>
    <phoneticPr fontId="2" type="noConversion"/>
  </si>
  <si>
    <t>농약관리법(법률) 제5조</t>
    <phoneticPr fontId="2" type="noConversion"/>
  </si>
  <si>
    <t>농약관리법(법률) 제3조</t>
    <phoneticPr fontId="2" type="noConversion"/>
  </si>
  <si>
    <t>농약관리법(법률) 제31조</t>
    <phoneticPr fontId="2" type="noConversion"/>
  </si>
  <si>
    <t>먹는물관리법(법률) 제21조</t>
    <phoneticPr fontId="2" type="noConversion"/>
  </si>
  <si>
    <t>먹는물관리법(법률) 제26조</t>
    <phoneticPr fontId="2" type="noConversion"/>
  </si>
  <si>
    <t>먹는물관리법(법률) 제10조</t>
    <phoneticPr fontId="2" type="noConversion"/>
  </si>
  <si>
    <t>먹는물관리법(법률) 제8조</t>
    <phoneticPr fontId="2" type="noConversion"/>
  </si>
  <si>
    <t>먹는물관리법(법률) 제51조</t>
    <phoneticPr fontId="2" type="noConversion"/>
  </si>
  <si>
    <t>먹는물관리법(법률) 제23조</t>
    <phoneticPr fontId="2" type="noConversion"/>
  </si>
  <si>
    <t>먹는물관리법(법률) 제25조</t>
    <phoneticPr fontId="2" type="noConversion"/>
  </si>
  <si>
    <t>먹는물관리법(법률) 제46조</t>
    <phoneticPr fontId="2" type="noConversion"/>
  </si>
  <si>
    <t>사료관리법(법률) 제8조</t>
    <phoneticPr fontId="2" type="noConversion"/>
  </si>
  <si>
    <t>사료관리법(법률) 제12조</t>
    <phoneticPr fontId="2" type="noConversion"/>
  </si>
  <si>
    <t>사료관리법(법률) 제13조</t>
    <phoneticPr fontId="2" type="noConversion"/>
  </si>
  <si>
    <t>사료관리법(법률) 제16조</t>
    <phoneticPr fontId="2" type="noConversion"/>
  </si>
  <si>
    <t>사료관리법(법률) 제4조</t>
    <phoneticPr fontId="2" type="noConversion"/>
  </si>
  <si>
    <t>사료관리법(법률) 제7조</t>
    <phoneticPr fontId="2" type="noConversion"/>
  </si>
  <si>
    <t>사료관리법(법률) 제19조</t>
    <phoneticPr fontId="2" type="noConversion"/>
  </si>
  <si>
    <t>사료관리법(법률) 제20조</t>
    <phoneticPr fontId="2" type="noConversion"/>
  </si>
  <si>
    <t>사료관리법(법률) 제21조</t>
    <phoneticPr fontId="2" type="noConversion"/>
  </si>
  <si>
    <t>축산물 위생관리법 시행규칙(총리령) 제6조</t>
    <phoneticPr fontId="2" type="noConversion"/>
  </si>
  <si>
    <t xml:space="preserve">축산물 위생관리법 시행규칙(총리령) 제7조의4 </t>
    <phoneticPr fontId="2" type="noConversion"/>
  </si>
  <si>
    <t>축산물 위생관리법(법률) 제4조</t>
    <phoneticPr fontId="2" type="noConversion"/>
  </si>
  <si>
    <t>축산물 위생관리법 시행규칙(총리령) 제3조</t>
    <phoneticPr fontId="2" type="noConversion"/>
  </si>
  <si>
    <t>축산물 위생관리법 시행령(대통령령) 제6조</t>
    <phoneticPr fontId="2" type="noConversion"/>
  </si>
  <si>
    <t>축산물 위생관리법 시행령(대통령령) 제6조의3</t>
    <phoneticPr fontId="2" type="noConversion"/>
  </si>
  <si>
    <t>축산물 위생관리법(법률) 제2조</t>
    <phoneticPr fontId="2" type="noConversion"/>
  </si>
  <si>
    <t xml:space="preserve">축산물 위생관리법(법률) 제3조의2 </t>
    <phoneticPr fontId="2" type="noConversion"/>
  </si>
  <si>
    <t xml:space="preserve">식품ㆍ의약품분야 시험ㆍ검사 등에 관한 법률(법률) 제6조 </t>
    <phoneticPr fontId="2" type="noConversion"/>
  </si>
  <si>
    <t>식품ㆍ의약품분야 시험ㆍ검사 등에 관한 법률 시행규칙(총리령) 제5조</t>
    <phoneticPr fontId="2" type="noConversion"/>
  </si>
  <si>
    <t>식품ㆍ의약품분야 시험ㆍ검사 등에 관한 법률(법률) 제6조</t>
    <phoneticPr fontId="2" type="noConversion"/>
  </si>
  <si>
    <t xml:space="preserve">식품ㆍ의약품분야 시험ㆍ검사 등에 관한 법률(법률) 제8조 </t>
    <phoneticPr fontId="2" type="noConversion"/>
  </si>
  <si>
    <t xml:space="preserve">식품ㆍ의약품분야 시험ㆍ검사 등에 관한 법률 시행규칙(총리령) 제16조 </t>
    <phoneticPr fontId="2" type="noConversion"/>
  </si>
  <si>
    <t>식품ㆍ의약품분야 시험ㆍ검사 등에 관한 법률(법률) 제18조</t>
    <phoneticPr fontId="2" type="noConversion"/>
  </si>
  <si>
    <t xml:space="preserve">식품ㆍ의약품분야 시험ㆍ검사 등에 관한 법률 시행규칙(총리령) 제22조 </t>
    <phoneticPr fontId="2" type="noConversion"/>
  </si>
  <si>
    <t xml:space="preserve">식품ㆍ의약품분야 시험ㆍ검사 등에 관한 법률(법률) 제19조 </t>
    <phoneticPr fontId="2" type="noConversion"/>
  </si>
  <si>
    <t>식품ㆍ의약품분야 시험ㆍ검사 등에 관한 법률(법률)제10조</t>
    <phoneticPr fontId="2" type="noConversion"/>
  </si>
  <si>
    <t xml:space="preserve">식품ㆍ의약품분야 시험ㆍ검사 등에 관한 법률 시행규칙(총리령) 제10조 </t>
    <phoneticPr fontId="2" type="noConversion"/>
  </si>
  <si>
    <t xml:space="preserve">식품ㆍ의약품분야 시험ㆍ검사 등에 관한 법률(법률) 제11조 </t>
    <phoneticPr fontId="2" type="noConversion"/>
  </si>
  <si>
    <t>식품ㆍ의약품분야 시험ㆍ검사 등에 관한 법률 시행규칙(총리령) 제20조</t>
    <phoneticPr fontId="2" type="noConversion"/>
  </si>
  <si>
    <t>식품ㆍ의약품분야 시험ㆍ검사 등에 관한 법률(법률) 제16조</t>
    <phoneticPr fontId="2" type="noConversion"/>
  </si>
  <si>
    <t xml:space="preserve">식품ㆍ의약품분야 시험ㆍ검사 등에 관한 법률 시행규칙(총리령) 제4조 </t>
    <phoneticPr fontId="2" type="noConversion"/>
  </si>
  <si>
    <t xml:space="preserve">건강기능식품에 관한 법률 시행령(대통령령) 제2조 </t>
    <phoneticPr fontId="2" type="noConversion"/>
  </si>
  <si>
    <t xml:space="preserve">건강기능식품에 관한 법률(법률) 제5조 </t>
    <phoneticPr fontId="2" type="noConversion"/>
  </si>
  <si>
    <t xml:space="preserve">건강기능식품에 관한 법률 시행규칙(총리령) 제3조 </t>
    <phoneticPr fontId="2" type="noConversion"/>
  </si>
  <si>
    <t>건강기능식품에 관한 법률 시행령(대통령령) 제3조</t>
    <phoneticPr fontId="2" type="noConversion"/>
  </si>
  <si>
    <t xml:space="preserve">건강기능식품에 관한 법률 시행규칙(총리령) 제4조 </t>
    <phoneticPr fontId="2" type="noConversion"/>
  </si>
  <si>
    <t xml:space="preserve">건강기능식품에 관한 법률 시행규칙(총리령) 제8조 </t>
    <phoneticPr fontId="2" type="noConversion"/>
  </si>
  <si>
    <t xml:space="preserve">건강기능식품에 관한 법률(법률) 제12조 </t>
    <phoneticPr fontId="2" type="noConversion"/>
  </si>
  <si>
    <t>건강기능식품에 관한 법률 시행규칙(총리령) 제12조</t>
    <phoneticPr fontId="2" type="noConversion"/>
  </si>
  <si>
    <t>건강기능식품에 관한 법률 시행령(대통령령) 제5조의2</t>
    <phoneticPr fontId="2" type="noConversion"/>
  </si>
  <si>
    <t xml:space="preserve">건강기능식품에 관한 법률(법률) 제22조 </t>
    <phoneticPr fontId="2" type="noConversion"/>
  </si>
  <si>
    <t xml:space="preserve">건강기능식품에 관한 법률 시행규칙(총리령) 제16조의2 </t>
    <phoneticPr fontId="2" type="noConversion"/>
  </si>
  <si>
    <t xml:space="preserve">건강기능식품에 관한 법률 시행규칙(총리령) 제25조의4 </t>
    <phoneticPr fontId="2" type="noConversion"/>
  </si>
  <si>
    <t>건강기능식품에 관한 법률(법률) 제11조</t>
    <phoneticPr fontId="2" type="noConversion"/>
  </si>
  <si>
    <t>건강기능식품에 관한 법률 시행규칙(총리령) 제14조</t>
    <phoneticPr fontId="2" type="noConversion"/>
  </si>
  <si>
    <t xml:space="preserve">수입식품안전관리 특별법 법률 제5조 </t>
    <phoneticPr fontId="2" type="noConversion"/>
  </si>
  <si>
    <t xml:space="preserve">수입식품안전관리 특별법 법률 제6조 </t>
    <phoneticPr fontId="2" type="noConversion"/>
  </si>
  <si>
    <t xml:space="preserve">수입식품안전관리 특별법 법률 제7조 </t>
    <phoneticPr fontId="2" type="noConversion"/>
  </si>
  <si>
    <t xml:space="preserve">수입식품안전관리 특별법 법률 제14조 </t>
    <phoneticPr fontId="2" type="noConversion"/>
  </si>
  <si>
    <t xml:space="preserve">수입식품안전관리 특별법 법률 제25조 </t>
    <phoneticPr fontId="2" type="noConversion"/>
  </si>
  <si>
    <t xml:space="preserve">수입식품안전관리 특별법 법률 제29조  </t>
    <phoneticPr fontId="2" type="noConversion"/>
  </si>
  <si>
    <t xml:space="preserve">식품위생법 법률 제7조 </t>
    <phoneticPr fontId="2" type="noConversion"/>
  </si>
  <si>
    <t xml:space="preserve">식품위생법 법률 제19조의4 </t>
    <phoneticPr fontId="2" type="noConversion"/>
  </si>
  <si>
    <t xml:space="preserve">식품위생법 법률 제17조 </t>
    <phoneticPr fontId="2" type="noConversion"/>
  </si>
  <si>
    <t>식품위생법 법률 제12조의2</t>
    <phoneticPr fontId="2" type="noConversion"/>
  </si>
  <si>
    <t xml:space="preserve">식품위생법 법률 제44조의2 </t>
    <phoneticPr fontId="2" type="noConversion"/>
  </si>
  <si>
    <t>식품위생법 시행규칙(총리령) 제4조</t>
    <phoneticPr fontId="2" type="noConversion"/>
  </si>
  <si>
    <t>식품위생법 법률 제31조의2</t>
    <phoneticPr fontId="2" type="noConversion"/>
  </si>
  <si>
    <t>식품위생법 법률 제5조</t>
    <phoneticPr fontId="2" type="noConversion"/>
  </si>
  <si>
    <t>수입식품안전관리 특별법 시행규칙(총리령) 제7조</t>
    <phoneticPr fontId="2" type="noConversion"/>
  </si>
  <si>
    <t xml:space="preserve">식품위생법 시행규칙(총리령) 제5조 </t>
    <phoneticPr fontId="2" type="noConversion"/>
  </si>
  <si>
    <t>식품위생법 시행규칙(총리령) 제31조의2</t>
    <phoneticPr fontId="2" type="noConversion"/>
  </si>
  <si>
    <t>식품위생법 시행규칙(총리령) 제15조의8</t>
    <phoneticPr fontId="2" type="noConversion"/>
  </si>
  <si>
    <t>식품위생법 시행령(대통령령) 제7조</t>
    <phoneticPr fontId="2" type="noConversion"/>
  </si>
  <si>
    <t xml:space="preserve">식품위생법 시행령(대통령령) 제21조 </t>
    <phoneticPr fontId="2" type="noConversion"/>
  </si>
  <si>
    <t xml:space="preserve">식품위생법 시행령(대통령령) 제30조 </t>
    <phoneticPr fontId="2" type="noConversion"/>
  </si>
  <si>
    <t xml:space="preserve">식품위생법 시행령(대통령령) 제50조 </t>
    <phoneticPr fontId="2" type="noConversion"/>
  </si>
  <si>
    <t>식품위생법 시행령(대통령령) 제32조의2</t>
    <phoneticPr fontId="2" type="noConversion"/>
  </si>
  <si>
    <t xml:space="preserve">수입식품안전관리 특별법 시행령(대통령령) 제10조 </t>
    <phoneticPr fontId="2" type="noConversion"/>
  </si>
  <si>
    <t>수입식품안전관리 특별법 시행령(대통령령)  제12조</t>
    <phoneticPr fontId="2" type="noConversion"/>
  </si>
  <si>
    <t xml:space="preserve">수입식품안전관리 특별법 시행령(대통령령)  제6조 </t>
    <phoneticPr fontId="2" type="noConversion"/>
  </si>
  <si>
    <t>수입식품안전관리 특별법 시행령(대통령령)  제2조</t>
    <phoneticPr fontId="2" type="noConversion"/>
  </si>
  <si>
    <t xml:space="preserve">수입식품안전관리 특별법 시행규칙(총리령) 제4조 </t>
    <phoneticPr fontId="2" type="noConversion"/>
  </si>
  <si>
    <t xml:space="preserve">수입식품안전관리 특별법 시행규칙(총리령) 제3조 </t>
    <phoneticPr fontId="2" type="noConversion"/>
  </si>
  <si>
    <t xml:space="preserve">수입식품안전관리 특별법 시행규칙(총리령) 제2조 </t>
    <phoneticPr fontId="2" type="noConversion"/>
  </si>
  <si>
    <t>수입식품안전관리 특별법 시행규칙(총리령) 제2조</t>
    <phoneticPr fontId="2" type="noConversion"/>
  </si>
  <si>
    <t>한국식품안전관리인증원의 설립 및 운영에 관한 법률(법률) 제13조</t>
    <phoneticPr fontId="2" type="noConversion"/>
  </si>
  <si>
    <t xml:space="preserve">한국식품안전관리인증원의 설립 및 운영에 관한 법률(법률) 제14조 </t>
    <phoneticPr fontId="2" type="noConversion"/>
  </si>
  <si>
    <t xml:space="preserve">한국식품안전관리인증원의 설립 및 운영에 관한 법률(법률) 제4조 </t>
    <phoneticPr fontId="2" type="noConversion"/>
  </si>
  <si>
    <t xml:space="preserve">한국식품안전관리인증원의 설립 및 운영에 관한 법률(법률) 제5조 </t>
    <phoneticPr fontId="2" type="noConversion"/>
  </si>
  <si>
    <t xml:space="preserve">한국식품안전관리인증원의 설립 및 운영에 관한 법률(법률) 제8조 </t>
    <phoneticPr fontId="2" type="noConversion"/>
  </si>
  <si>
    <t xml:space="preserve">한국식품안전관리인증원의 설립 및 운영에 관한 법률(법률) 제13조 </t>
    <phoneticPr fontId="2" type="noConversion"/>
  </si>
  <si>
    <t>한국식품안전관리인증원의 설립 및 운영에 관한 법률(법률) 제10조</t>
    <phoneticPr fontId="2" type="noConversion"/>
  </si>
  <si>
    <t>한국식품안전관리인증원의 설립 및 운영에 관한 법률(법률) 제11조</t>
    <phoneticPr fontId="2" type="noConversion"/>
  </si>
  <si>
    <t>한국식품안전관리인증원의 설립 및 운영에 관한 법률(법률) 제15조</t>
    <phoneticPr fontId="2" type="noConversion"/>
  </si>
  <si>
    <t>한국식품안전관리인증원의 설립 및 운영에 관한 법률(법률) 제19조</t>
    <phoneticPr fontId="2" type="noConversion"/>
  </si>
  <si>
    <t>한국식품안전관리인증원의 설립 및 운영에 관한 법률(법률) 제17조</t>
    <phoneticPr fontId="2" type="noConversion"/>
  </si>
  <si>
    <t>한국식품안전관리인증원의 설립 및 운영에 관한 법률(법률) 제20조</t>
    <phoneticPr fontId="2" type="noConversion"/>
  </si>
  <si>
    <t>한국식품안전관리인증원의 설립 및 운영에 관한 법률 시행령(대통령령) 제4조</t>
    <phoneticPr fontId="2" type="noConversion"/>
  </si>
  <si>
    <t xml:space="preserve">한국식품안전관리인증원의 설립 및 운영에 관한 법률 시행령(대통령령) 제3조 </t>
    <phoneticPr fontId="2" type="noConversion"/>
  </si>
  <si>
    <t>사료관리법 시행규칙(농림축산식품부령) 제35조</t>
    <phoneticPr fontId="2" type="noConversion"/>
  </si>
  <si>
    <t>사료관리법 시행규칙(농림축산식품부령) 제20조</t>
    <phoneticPr fontId="2" type="noConversion"/>
  </si>
  <si>
    <t>사료관리법 시행규칙(농림축산식품부령) 제4조</t>
    <phoneticPr fontId="2" type="noConversion"/>
  </si>
  <si>
    <t>사료관리법 시행규칙(농림축산식품부령) 제3조</t>
    <phoneticPr fontId="2" type="noConversion"/>
  </si>
  <si>
    <t>사료관리법 시행규칙(농림축산식품부령) 제16조</t>
    <phoneticPr fontId="2" type="noConversion"/>
  </si>
  <si>
    <t>사료관리법 시행규칙(농림축산식품부령) 제14조</t>
    <phoneticPr fontId="2" type="noConversion"/>
  </si>
  <si>
    <t>사료관리법 시행규칙(농림축산식품부령) 제12조</t>
    <phoneticPr fontId="2" type="noConversion"/>
  </si>
  <si>
    <t>사료관리법 시행규칙(농림축산식품부령) 제5조</t>
    <phoneticPr fontId="2" type="noConversion"/>
  </si>
  <si>
    <t>먹는물관리법 시행규칙(환경부령) 제13조</t>
    <phoneticPr fontId="2" type="noConversion"/>
  </si>
  <si>
    <t>먹는물관리법 시행규칙(환경부령) 제15조</t>
    <phoneticPr fontId="2" type="noConversion"/>
  </si>
  <si>
    <t>먹는물관리법 시행규칙(환경부령) 제40조</t>
    <phoneticPr fontId="2" type="noConversion"/>
  </si>
  <si>
    <t>먹는물관리법 시행규칙(환경부령) 제4조</t>
    <phoneticPr fontId="2" type="noConversion"/>
  </si>
  <si>
    <t>먹는물관리법 시행규칙(환경부령) 제17조</t>
    <phoneticPr fontId="2" type="noConversion"/>
  </si>
  <si>
    <t>먹는물관리법 시행규칙(환경부령) 제2조</t>
    <phoneticPr fontId="2" type="noConversion"/>
  </si>
  <si>
    <t>먹는물관리법 시행규칙(환경부령) 제16조</t>
    <phoneticPr fontId="2" type="noConversion"/>
  </si>
  <si>
    <t>먹는물관리법 시행규칙(환경부령) 제10조</t>
    <phoneticPr fontId="2" type="noConversion"/>
  </si>
  <si>
    <t>먹는물관리법 시행령(대통령령) 제19조</t>
    <phoneticPr fontId="2" type="noConversion"/>
  </si>
  <si>
    <t>먹는물관리법 시행령(대통령령) 제6조</t>
    <phoneticPr fontId="2" type="noConversion"/>
  </si>
  <si>
    <t>농약관리법 시행령(대통령령) 제22조</t>
    <phoneticPr fontId="2" type="noConversion"/>
  </si>
  <si>
    <t>농약관리법 시행령(대통령령) 제23조</t>
    <phoneticPr fontId="2" type="noConversion"/>
  </si>
  <si>
    <t>농약관리법 시행규칙(농림축산식품부령) 제3조</t>
    <phoneticPr fontId="2" type="noConversion"/>
  </si>
  <si>
    <t>농약관리법 시행규칙(농림축산식품부령) 제16조</t>
    <phoneticPr fontId="2" type="noConversion"/>
  </si>
  <si>
    <t>농약관리법 시행규칙(농림축산식품부령) 제6조</t>
    <phoneticPr fontId="2" type="noConversion"/>
  </si>
  <si>
    <t xml:space="preserve">가축전염병 예방법 시행규칙(농림축산식품부령) 제3조의5 </t>
    <phoneticPr fontId="2" type="noConversion"/>
  </si>
  <si>
    <t xml:space="preserve">가축전염병 예방법 시행규칙(농림축산식품부령) 제3조의4 </t>
    <phoneticPr fontId="2" type="noConversion"/>
  </si>
  <si>
    <t xml:space="preserve">가축전염병 예방법 시행규칙(농림축산식품부령) 제3조의3 </t>
    <phoneticPr fontId="2" type="noConversion"/>
  </si>
  <si>
    <t xml:space="preserve">가축전염병 예방법 시행령(대통령령) 제11조 </t>
    <phoneticPr fontId="2" type="noConversion"/>
  </si>
  <si>
    <t xml:space="preserve">가축전염병 예방법(법률) 제5조 </t>
    <phoneticPr fontId="2" type="noConversion"/>
  </si>
  <si>
    <t>가축전염병 예방법 시행령(대통령령) 제2조의5</t>
    <phoneticPr fontId="2" type="noConversion"/>
  </si>
  <si>
    <t>한국식품안전관리인증원의 설립 및 운영에 관한 법률(법률) 제13조 제1항</t>
    <phoneticPr fontId="2" type="noConversion"/>
  </si>
  <si>
    <t>한국식품안전관리인증원의 설립 및 운영에 관한 법률(법률) 제13조 제2항</t>
    <phoneticPr fontId="2" type="noConversion"/>
  </si>
  <si>
    <t>한국식품안전관리인증원의 설립 및 운영에 관한 법률(법률) 제14조 제1항</t>
    <phoneticPr fontId="2" type="noConversion"/>
  </si>
  <si>
    <t>한국식품안전관리인증원의 설립 및 운영에 관한 법률(법률) 제14조 제2항</t>
    <phoneticPr fontId="2" type="noConversion"/>
  </si>
  <si>
    <t>한국식품안전관리인증원의 설립 및 운영에 관한 법률(법률) 제14조 제3항</t>
    <phoneticPr fontId="2" type="noConversion"/>
  </si>
  <si>
    <t>한국식품안전관리인증원의 설립 및 운영에 관한 법률(법률 제14조 제4항</t>
    <phoneticPr fontId="2" type="noConversion"/>
  </si>
  <si>
    <t>한국식품안전관리인증원의 설립 및 운영에 관한 법률(법률) 제4조 제2항</t>
    <phoneticPr fontId="2" type="noConversion"/>
  </si>
  <si>
    <t>한국식품안전관리인증원의 설립 및 운영에 관한 법률(법률) 제5조 제1항 제5호</t>
    <phoneticPr fontId="2" type="noConversion"/>
  </si>
  <si>
    <t>한국식품안전관리인증원의 설립 및 운영에 관한 법률(법률) 제8조 제5항</t>
    <phoneticPr fontId="2" type="noConversion"/>
  </si>
  <si>
    <t>한국식품안전관리인증원의 설립 및 운영에 관한 법률(법률) 제8조 제1항 제2호</t>
    <phoneticPr fontId="2" type="noConversion"/>
  </si>
  <si>
    <t>한국식품안전관리인증원의 설립 및 운영에 관한 법률 시행령(대통령령) 제3조 제1항</t>
    <phoneticPr fontId="2" type="noConversion"/>
  </si>
  <si>
    <t>한국식품안전관리인증원의 설립 및 운영에 관한 법률 시행령(대통령령) 제3조 제2항</t>
    <phoneticPr fontId="2" type="noConversion"/>
  </si>
  <si>
    <t>식품위생법 시행령(대통령령) 제32조의2</t>
    <phoneticPr fontId="2" type="noConversion"/>
  </si>
  <si>
    <t>식품위생법 시행령(대통령령) 제50조 제3항</t>
    <phoneticPr fontId="2" type="noConversion"/>
  </si>
  <si>
    <t>식품위생법 시행령(대통령령) 제30조 제2항</t>
    <phoneticPr fontId="2" type="noConversion"/>
  </si>
  <si>
    <t>식품위생법 시행령(대통령령) 제21조 제8호 나목</t>
    <phoneticPr fontId="2" type="noConversion"/>
  </si>
  <si>
    <t>식품위생법 시행령(대통령령) 제21조 제8호 가목</t>
    <phoneticPr fontId="2" type="noConversion"/>
  </si>
  <si>
    <t>식품위생법 시행령(대통령령) 제7조 제1항</t>
    <phoneticPr fontId="2" type="noConversion"/>
  </si>
  <si>
    <t>식품위생법 시행규칙(총리령) 제5조 제1항 제1호 다목</t>
    <phoneticPr fontId="2" type="noConversion"/>
  </si>
  <si>
    <t>수입식품안전관리 특별법 시행규칙(총리령) 제7조 제4항</t>
    <phoneticPr fontId="2" type="noConversion"/>
  </si>
  <si>
    <t>수입식품안전관리 특별법 시행규칙 제7조 제3항</t>
    <phoneticPr fontId="2" type="noConversion"/>
  </si>
  <si>
    <t xml:space="preserve"> </t>
    <phoneticPr fontId="2" type="noConversion"/>
  </si>
  <si>
    <t>농약관리법(법률) 제31조의3(벌칙)</t>
  </si>
  <si>
    <t>한국식품안전관리인증원의 설립 및 운영에 관한 법률(법률) 제12조(사업연도)</t>
  </si>
  <si>
    <t>한국식품안전관리인증원의 설립 및 운영에 관한 법률(법률) 제4조(사무소)</t>
  </si>
  <si>
    <t>한국식품안전관리인증원의 설립 및 운영에 관한 법률(법률) 제6조(사업)</t>
  </si>
  <si>
    <t>한국식품안전관리인증원의 설립 및 운영에 관한 법률 시행령(대통령령) 제2조(설립등기)</t>
  </si>
  <si>
    <t xml:space="preserve"> </t>
    <phoneticPr fontId="2" type="noConversion"/>
  </si>
  <si>
    <t>축산물 위생관리법(법률) 제31조(영업자 등의 준수사항)</t>
  </si>
  <si>
    <t>축산물 위생관리법 시행령(대통령령) 제21조(영업의 세부 종류와 범위)</t>
  </si>
  <si>
    <t>축산물 위생관리법 시행령(대통령령) 제20조의3(명예축산물위생감시원의 위촉 등)</t>
  </si>
  <si>
    <t>축산물 위생관리법 시행령(대통령령) 제12조의7(축산물의 포장 등)</t>
  </si>
  <si>
    <t>축산물 위생관리법(법률) 제20조의2(축산물위생감시원)</t>
  </si>
  <si>
    <t>수입식품안전관리 특별법 시행규칙(총리령) 제12조(해외작업장의 등록 등)</t>
  </si>
  <si>
    <t>수입식품안전관리 특별법(법률) 제6조(해외제조업소의 현지실사)</t>
  </si>
  <si>
    <t>수입식품안전관리 특별법 시행규칙(총리령) 제35조(유통이력추적관리 대상 수입식품등)</t>
  </si>
  <si>
    <t>수입식품안전관리 특별법 시행규칙(총리령) 제49조(정보수집요원 운영)</t>
  </si>
  <si>
    <t>수입식품안전관리 특별법 시행령(대통령령) 제8조(폐쇄조치 절차의 예외)</t>
  </si>
  <si>
    <t>수입식품안전관리 특별법 시행규칙(총리령) 제10조(해외식품 위생평가기관 지정취소 등 처분기준)</t>
  </si>
  <si>
    <t>식품위생법 시행규칙(총리령) 제50조(영업에 종사하지 못하는 질병의 종류)</t>
  </si>
  <si>
    <t>식품위생법 시행규칙(총리령) 제68조(식품안전관리인증기준적용업소에 대한 출입검사 면제)</t>
  </si>
  <si>
    <t>식품위생법(법률) 제46조의2(식품등의 오염사고의 보고 등)</t>
  </si>
  <si>
    <t>식품위생법 시행령(대통령령) 제25조(영업신고를 하여야 하는 업종)</t>
  </si>
  <si>
    <t>식품위생법 시행령(대통령령) 제27조(식품위생교육의 대상)</t>
  </si>
  <si>
    <t>식품위생법(법률) 제70조(지도감독 등)</t>
  </si>
  <si>
    <t>가축전염병 예방법(법률) 제4조(가축방역심의회)</t>
  </si>
  <si>
    <t>축산물 위생관리법 시행규칙(총리령) 제7조의3(안전관리인증작업장등의 인증신청 등)</t>
  </si>
  <si>
    <t>축산물 위생관리법(법률) 제42조(공중위생상 위해 시의 조치)</t>
  </si>
  <si>
    <t>축산물 위생관리법 시행규칙(총리령) 제35조(영업의 신고 등)</t>
  </si>
  <si>
    <t>식품ㆍ의약품분야 시험ㆍ검사 등에 관한 법률(법률) 제28조(벌칙)</t>
  </si>
  <si>
    <t>수입식품안전관리 특별법(법률) 제7조(우수수입업소 등록 등)</t>
  </si>
  <si>
    <t>수입식품안전관리 특별법(법률) 제34조(위해 수입식품등의 판매 등에 따른 과징금 부과 등)</t>
  </si>
  <si>
    <t>수입식품안전관리 특별법 시행규칙(총리령) 제27조(수입식품등의 수입신고)</t>
  </si>
  <si>
    <t>식품위생법(법률) 제9조의2(기구 및 용기포장에 사용하는 재생원료에 관한 인정)</t>
  </si>
  <si>
    <t>식품위생법(법률) 제23조(식품등의 재검사)</t>
  </si>
  <si>
    <t>식품위생법 시행규칙(총리령) 제101조(과태료의 부과대상)</t>
  </si>
  <si>
    <t>식품위생법 시행규칙(총리령) 제61조의3(위생등급 유효기간의 연장 등)</t>
  </si>
  <si>
    <t>한국식품안전관리인증원의 설립 및 운영에 관한 법률(법률) 제11조(보조금)</t>
  </si>
  <si>
    <t>가축전염병 예방법(법률) 제3조(국가와 지방자치단체의 책무)</t>
  </si>
  <si>
    <t>가축전염병 예방법(법률) 제3조의2(가축전염병 발생 현황에 대한 정보공개)</t>
  </si>
  <si>
    <t>가축전염병 예방법 시행규칙(농림축산식품부령) 제7조의3(질문검사소독 고지 및 소독 등 실시)</t>
  </si>
  <si>
    <t>가축전염병 예방법(법률) 제52조의4(가축전염병 안내교육)</t>
  </si>
  <si>
    <t>가축전염병 예방법 시행령(대통령령) 제2조의2(가축전염병 발생 현황에 대한 정보공개)</t>
  </si>
  <si>
    <t>가축전염병 예방법 시행규칙(농림축산식품부령) 제3조의3(가축전염병 발생 현황에 대한 정보공개)</t>
  </si>
  <si>
    <t>가축전염병 예방법 시행규칙(농림축산식품부령) 제47조의2(정보 제공 대상 등)</t>
  </si>
  <si>
    <t>가축전염병 예방법 시행령(대통령령) 제2조의3(검역 및 방역 시설 설치운영)</t>
  </si>
  <si>
    <t>농약관리법 시행규칙(농림축산식품부령) 제3조의2(제조업원제업 또는 수입업의 변경등록)</t>
  </si>
  <si>
    <t>농약관리법(법률) 제21조(제조수입보관진열 또는 판매의 금지 등)</t>
  </si>
  <si>
    <t>농약관리법(법률) 제3조의2(영업의 신고)</t>
  </si>
  <si>
    <t>농약관리법 시행령(대통령령) 제21조의2(관계 행정기관의 범위 등)</t>
  </si>
  <si>
    <t>농약관리법 시행규칙(농림축산식품부령) 제16조(품목의 재등록신청 등)</t>
  </si>
  <si>
    <t>농약관리법 시행규칙(농림축산식품부령) 제14조(시험성적서 등의 제출 면제의 범위)</t>
  </si>
  <si>
    <t>농약관리법(법률) 제17조(수입농약 등의 등록 등)</t>
  </si>
  <si>
    <t>농약관리법 시행규칙(농림축산식품부령) 제24조의5(농약안전정보시스템의 구축운영에 관한 세부사항)</t>
  </si>
  <si>
    <t>농약관리법(법률) 제7조(등록의 취소 등)</t>
  </si>
  <si>
    <t>먹는물관리법(법률) 제21조(영업의 허가 등)</t>
  </si>
  <si>
    <t>먹는물관리법 시행령(대통령령) 제3조(샘물 또는 염지하수의 개발허가 대상)</t>
  </si>
  <si>
    <t>먹는물관리법 시행규칙(환경부령) 제38조의3(먹는물관련영업자의 먹는샘물등의 회수 등)</t>
  </si>
  <si>
    <t>먹는물관리법 시행규칙(환경부령) 제3조(샘물등의 개발허가)</t>
  </si>
  <si>
    <t>먹는물관리법(법률) 제8조의2(냉온수기 또는 정수기의 설치관리)</t>
  </si>
  <si>
    <t>먹는물관리법(법률) 제3조(부담금 및 가산금 징수 등에 관한 경과조치)</t>
  </si>
  <si>
    <t>먹는물관리법 시행령(대통령령) 제6조(품질관리인의 자격기준)</t>
  </si>
  <si>
    <t>먹는물관리법 시행규칙(환경부령) 제33조(자가 품질 검사)</t>
  </si>
  <si>
    <t>먹는물관리법(법률) 제48조(허가의 취소 등)</t>
  </si>
  <si>
    <t>먹는물관리법 시행규칙(환경부령) 제11조(휴업 등의 신고)</t>
  </si>
  <si>
    <t>사료관리법 시행규칙(농림축산식품부령) 제5조(제조업의 등록)</t>
  </si>
  <si>
    <t>사료관리법 시행규칙(농림축산식품부령) 제16조(위해요소중점관리기준 적용 사료공장의 지정신청 등)</t>
  </si>
  <si>
    <t>사료관리법 시행규칙(농림축산식품부령) 제29조(사료검정기관의 지정 등)</t>
  </si>
  <si>
    <t>사료관리법(법률) 제19조(사료의 수입신고 등)</t>
  </si>
  <si>
    <t>사료관리법(법률) 제16조(위해요소중점관리기준)</t>
  </si>
  <si>
    <t>사료관리법 시행규칙(농림축산식품부령) 제3조(수출목적으로 제조한 사료에 대한 적용 배제)</t>
  </si>
  <si>
    <t>사료관리법(법률) 제14조(제조수입판매 또는 사용 등의 금지)</t>
  </si>
  <si>
    <t>사료관리법 시행규칙(농림축산식품부령) 제33조(보고감독 및 지도 등)</t>
  </si>
  <si>
    <t>사료관리법(법률) 제22조(사료검정기관 지정 등)</t>
  </si>
  <si>
    <t>사료관리법(법률) 제11조(사료의 공정 등)</t>
  </si>
  <si>
    <t>식품ㆍ의약품분야 시험ㆍ검사 등에 관한 법률(법률) 제8조의2(국외시험검사기관 지정의 유효기간)</t>
  </si>
  <si>
    <t>식품ㆍ의약품분야 시험ㆍ검사 등에 관한 법률 시행규칙(총리령) 제8조(국외시험검사기관의 지정사항 변경)</t>
  </si>
  <si>
    <t>식품ㆍ의약품분야 시험ㆍ검사 등에 관한 법률 시행규칙(총리령) 제23조(교육기관의 변경지정 등)</t>
  </si>
  <si>
    <t>식품ㆍ의약품분야 시험ㆍ검사 등에 관한 법률(법률) 제6조(시험검사기관의 지정 등)</t>
  </si>
  <si>
    <t>식품ㆍ의약품분야 시험ㆍ검사 등에 관한 법률(법률) 제22조(보고와 출입 등)</t>
  </si>
  <si>
    <t>식품ㆍ의약품분야 시험ㆍ검사 등에 관한 법률 시행령(대통령령) 제9조(시험검사의 운영체계 확립 사업)</t>
  </si>
  <si>
    <t>식품ㆍ의약품분야 시험ㆍ검사 등에 관한 법률 시행규칙(총리령) 제2조(시험검사기관의 지정)</t>
  </si>
  <si>
    <t>식품ㆍ의약품분야 시험ㆍ검사 등에 관한 법률 시행규칙(총리령) 제26조의2(시험검사 능력 평가 및 관리)</t>
  </si>
  <si>
    <t>건강기능식품에 관한 법률 시행규칙(총리령) 제8조(품목제조신고 등)</t>
  </si>
  <si>
    <t>건강기능식품에 관한 법률 시행규칙(총리령) 제6조(신고사항의 변경)</t>
  </si>
  <si>
    <t>건강기능식품에 관한 법률(법률) 제6조(영업의 신고 등)</t>
  </si>
  <si>
    <t>건강기능식품에 관한 법률 시행규칙(총리령) 제15조(품질관리인의 수)</t>
  </si>
  <si>
    <t>건강기능식품에 관한 법률(법률) 제12조의2(품질관리인의 변경명령)</t>
  </si>
  <si>
    <t>건강기능식품에 관한 법률 시행규칙(총리령) 제29조의2(건강기능식품이력추적관리의 등록기준 등)</t>
  </si>
  <si>
    <t>건강기능식품에 관한 법률(법률) 제10조의3(보험 가입)</t>
  </si>
  <si>
    <t>건강기능식품에 관한 법률 시행규칙(총리령) 제16조의2(품질관리인의 직무 수행내역 등 기록보관)</t>
  </si>
  <si>
    <t>건강기능식품에 관한 법률 시행령(대통령령) 제20조(권한의 위임 및 위탁 등)</t>
  </si>
  <si>
    <t>건강기능식품에 관한 법률 시행규칙(총리령) 제5조(영업의 신고 등)</t>
  </si>
  <si>
    <t>한국식품안전관리인증원의 설립 및 운영에 관한 법률 시행령(대통령령) 제3조(사업계획서 등의 제출)</t>
  </si>
  <si>
    <t>한국식품안전관리인증원의 설립 및 운영에 관한 법률(법률) 제14조(지도감독 등)</t>
  </si>
  <si>
    <t>한국식품안전관리인증원의 설립 및 운영에 관한 법률 시행령(대통령령) 제3조(다른 법령의 개정)</t>
  </si>
  <si>
    <t>한국식품안전관리인증원의 설립 및 운영에 관한 법률(법률) 제15조(비밀엄수의 의무)</t>
  </si>
  <si>
    <t>식품ㆍ의약품분야 시험ㆍ검사 등에 관한 법률 시행규칙(총리령) 제8조</t>
    <phoneticPr fontId="2" type="noConversion"/>
  </si>
  <si>
    <t>식품ㆍ의약품분야 시험ㆍ검사 등에 관한 법률 시행규칙(총리령) 제4조</t>
    <phoneticPr fontId="2" type="noConversion"/>
  </si>
  <si>
    <t>식품ㆍ의약품분야 시험ㆍ검사 등에 관한 법률(법률) 제13조</t>
    <phoneticPr fontId="2" type="noConversion"/>
  </si>
  <si>
    <t xml:space="preserve">식품ㆍ의약품분야 시험ㆍ검사 등에 관한 법률 시행규칙(총리령) 제7조 </t>
    <phoneticPr fontId="2" type="noConversion"/>
  </si>
  <si>
    <t>농약관리법 시행규칙(농림축산식품부령) 제5조의3</t>
    <phoneticPr fontId="2" type="noConversion"/>
  </si>
  <si>
    <t>가축전염병 예방법(법률) 제51조</t>
    <phoneticPr fontId="2" type="noConversion"/>
  </si>
  <si>
    <t>가축전염병 예방법 시행규칙(농림축산식품부령) 제7조의3</t>
    <phoneticPr fontId="2" type="noConversion"/>
  </si>
  <si>
    <t>가축전염병 예방법 시행규칙(농림축산식품부령) 제4조</t>
  </si>
  <si>
    <t>가축전염병 예방법 시행규칙(농림축산식품부령) 제7조의4</t>
    <phoneticPr fontId="2" type="noConversion"/>
  </si>
  <si>
    <t>가축전염병 예방법(법률) 제52조</t>
    <phoneticPr fontId="2" type="noConversion"/>
  </si>
  <si>
    <t>가축전염병 예방법 시행규칙(농림축산식품부령) 제7조의3(질문검사소독 고지 및 소독 등 실시)</t>
    <phoneticPr fontId="2" type="noConversion"/>
  </si>
  <si>
    <t>가축전염병 예방법 시행령(대통령령) 제2조의2</t>
    <phoneticPr fontId="2" type="noConversion"/>
  </si>
  <si>
    <t>가축전염병 예방법 시행령(대통령령) 제7조</t>
  </si>
  <si>
    <t>가축전염병 예방법 시행규칙(농림축산식품부령) 제5조</t>
    <phoneticPr fontId="2" type="noConversion"/>
  </si>
  <si>
    <t>가축전염병 예방법 시행규칙(농림축산식품부령) 제3조의5</t>
    <phoneticPr fontId="2" type="noConversion"/>
  </si>
  <si>
    <t>가축전염병 예방법 시행령(대통령령) 제3조의2</t>
  </si>
  <si>
    <t>가축전염병 예방법 시행령(대통령령) 제2조의5</t>
  </si>
  <si>
    <t>가축전염병 예방법(법률) 제3조(국가와 지방자치단체의 책무)</t>
    <phoneticPr fontId="2" type="noConversion"/>
  </si>
  <si>
    <t>가축전염병 예방법 시행규칙(농림축산식품부령) 제3조(가축전염병 예찰)</t>
    <phoneticPr fontId="2" type="noConversion"/>
  </si>
  <si>
    <t>가축전염병 예방법(법률) 제52조(농림축산식품부장관 등의 지시)</t>
    <phoneticPr fontId="2" type="noConversion"/>
  </si>
  <si>
    <t>가축전염병 예방법(법률) 제51조(보고)</t>
    <phoneticPr fontId="2" type="noConversion"/>
  </si>
  <si>
    <t>가축전염병 예방법(법률) 제5조(가축의 소유자등의 방역 및 검역 의무)</t>
    <phoneticPr fontId="2" type="noConversion"/>
  </si>
  <si>
    <t>가축전염병 예방법 시행령(대통령령) 제2조의5(가축전염병 발생 국가에서 입국 시 제출할 서류)</t>
    <phoneticPr fontId="2" type="noConversion"/>
  </si>
  <si>
    <t>가축전염병 예방법 시행규칙(농림축산식품부령) 제7조의4(가축의 소유자등의 범위 및 입국출국 신고 등)</t>
    <phoneticPr fontId="2" type="noConversion"/>
  </si>
  <si>
    <t>가축전염병 예방법(법률) 제3조의2(가축전염병 발생 현황에 대한 정보공개)</t>
    <phoneticPr fontId="2" type="noConversion"/>
  </si>
  <si>
    <t>가축전염병 예방법 시행령(대통령령) 제2조의2(가축전염병 발생 현황에 대한 정보공개)</t>
    <phoneticPr fontId="2" type="noConversion"/>
  </si>
  <si>
    <t>가축전염병 예방법 시행규칙(농림축산식품부령) 제3조의3(가축전염병 발생 현황에 대한 정보공개)</t>
    <phoneticPr fontId="2" type="noConversion"/>
  </si>
  <si>
    <t>가축전염병 예방법(법률) 제52조의3(정보 제공 요청 등)</t>
    <phoneticPr fontId="2" type="noConversion"/>
  </si>
  <si>
    <t>가축전염병 예방법 시행령(대통령령) 제6조(가축사육시설의 폐쇄명령 등)</t>
    <phoneticPr fontId="2" type="noConversion"/>
  </si>
  <si>
    <t>가축전염병 예방법 시행령(대통령령) 제7조(가축사육시설의 폐쇄조치 등)</t>
    <phoneticPr fontId="2" type="noConversion"/>
  </si>
  <si>
    <t>가축전염병 예방법(법률) 제19조(격리와 가축사육시설의 폐쇄명령 등)</t>
    <phoneticPr fontId="2" type="noConversion"/>
  </si>
  <si>
    <t>가축전염병 예방법 시행규칙(농림축산식품부령) 제4조(사육제한 명령 등)</t>
    <phoneticPr fontId="2" type="noConversion"/>
  </si>
  <si>
    <t>가축전염병 예방법 시행규칙(농림축산식품부령) 제3조의4(국가가축방역통합정보시스템의 구축운영)</t>
    <phoneticPr fontId="2" type="noConversion"/>
  </si>
  <si>
    <t>가축전염병 예방법(법률) 제3조의3(국가가축방역통합정보시스템의 구축운영)</t>
    <phoneticPr fontId="2" type="noConversion"/>
  </si>
  <si>
    <t>가축전염병 예방법(법률) 제3조의4(중점방역관리지구)</t>
    <phoneticPr fontId="2" type="noConversion"/>
  </si>
  <si>
    <t>가축전염병 예방법 시행규칙(농림축산식품부령) 제3조의5(중점방역관리지구 지정 등)</t>
    <phoneticPr fontId="2" type="noConversion"/>
  </si>
  <si>
    <t>가축전염병 예방법(법률) 제48조의2(폐업 등의 지원)</t>
    <phoneticPr fontId="2" type="noConversion"/>
  </si>
  <si>
    <t>가축전염병 예방법(법률) 제17조(소독설비방역시설 구비 및 소독 실시 등)</t>
    <phoneticPr fontId="2" type="noConversion"/>
  </si>
  <si>
    <t>가축전염병 예방법(법률) 제4조(가축방역심의회)</t>
    <phoneticPr fontId="2" type="noConversion"/>
  </si>
  <si>
    <t>가축전염병 예방법 시행규칙(농림축산식품부령) 제5조(심의회의 구성 및 운영)</t>
    <phoneticPr fontId="2" type="noConversion"/>
  </si>
  <si>
    <t>가축전염병 예방법 시행규칙(농림축산식품부령) 제7조(심의회의 간사 등)</t>
    <phoneticPr fontId="2" type="noConversion"/>
  </si>
  <si>
    <t>가축전염병 예방법 시행규칙(농림축산식품부령) 제7조의5(방역관리 책임자)</t>
    <phoneticPr fontId="2" type="noConversion"/>
  </si>
  <si>
    <t>가축전염병 예방법 시행령(대통령령) 제3조의2(가축전염병기동방역기구의 설치 등)</t>
    <phoneticPr fontId="2" type="noConversion"/>
  </si>
  <si>
    <t>가축전염병 예방법(법률) 제5조의2(방역관리 책임자)</t>
    <phoneticPr fontId="2" type="noConversion"/>
  </si>
  <si>
    <t>가축전염병 예방법(법률) 제52조의4(가축전염병 안내교육)</t>
    <phoneticPr fontId="2" type="noConversion"/>
  </si>
  <si>
    <t>가축전염병 예방법 시행규칙(농림축산식품부령) 제37조(검역신청과 검역기준)</t>
    <phoneticPr fontId="2" type="noConversion"/>
  </si>
  <si>
    <t>농약관리법(법률) 제3조(영업의 등록 등)</t>
    <phoneticPr fontId="2" type="noConversion"/>
  </si>
  <si>
    <t>농약관리법 시행규칙(농림축산식품부령) 제3조의2(제조업원제업 또는 수입업의 변경등록)</t>
    <phoneticPr fontId="2" type="noConversion"/>
  </si>
  <si>
    <t>농약관리법 시행규칙(농림축산식품부령) 제7조(제조업자 등의 지위승계 신고)</t>
    <phoneticPr fontId="2" type="noConversion"/>
  </si>
  <si>
    <t>농약관리법 시행규칙(농림축산식품부령) 제3조(제조업원제업 또는 수입업의 등록신청등)</t>
    <phoneticPr fontId="2" type="noConversion"/>
  </si>
  <si>
    <t>농약관리법 시행령(대통령령) 제3조(수출입식물방제업 및 항공방제업의 영업범위)</t>
    <phoneticPr fontId="2" type="noConversion"/>
  </si>
  <si>
    <t>농약관리법 시행규칙(농림축산식품부령) 제5조의2(수출입식물방제업 및 항공방제업의 변경신고)</t>
    <phoneticPr fontId="2" type="noConversion"/>
  </si>
  <si>
    <t>농약관리법 시행규칙(농림축산식품부령) 제5조의4(항공방제업의 영업범위)</t>
    <phoneticPr fontId="2" type="noConversion"/>
  </si>
  <si>
    <t>농약관리법 시행규칙(농림축산식품부령) 제5조(수출입식물방제업 및 항공방제업의 신고)</t>
    <phoneticPr fontId="2" type="noConversion"/>
  </si>
  <si>
    <t>농약관리법(법률) 제40조(과태료)</t>
    <phoneticPr fontId="2" type="noConversion"/>
  </si>
  <si>
    <t>농약관리법(법률) 제32조(벌칙)</t>
    <phoneticPr fontId="2" type="noConversion"/>
  </si>
  <si>
    <t>농약관리법(법률) 제33조(벌칙)</t>
    <phoneticPr fontId="2" type="noConversion"/>
  </si>
  <si>
    <t>농약관리법(법률) 제35조(벌칙)</t>
    <phoneticPr fontId="2" type="noConversion"/>
  </si>
  <si>
    <t>농약관리법 시행규칙(농림축산식품부령) 제5조의3(행정정보의 공동이용)</t>
    <phoneticPr fontId="2" type="noConversion"/>
  </si>
  <si>
    <t>농약관리법(법률) 제9조(품목등록 신청서류 등의 검토 등)</t>
    <phoneticPr fontId="2" type="noConversion"/>
  </si>
  <si>
    <t>농약관리법 시행규칙(농림축산식품부령) 제21조의2(수입농약 등의 허가신청 등)</t>
    <phoneticPr fontId="2" type="noConversion"/>
  </si>
  <si>
    <t>농약관리법 시행령(대통령령) 제21조의2(관계 행정기관의 범위 등)</t>
    <phoneticPr fontId="2" type="noConversion"/>
  </si>
  <si>
    <t>농약관리법(법률) 제17조의3(제품등록의 유효기간 및 재등록)</t>
    <phoneticPr fontId="2" type="noConversion"/>
  </si>
  <si>
    <t>농약관리법(법률) 제11조(품목등록의 유효기간 및 재등록)</t>
    <phoneticPr fontId="2" type="noConversion"/>
  </si>
  <si>
    <t>농약관리법 시행규칙(농림축산식품부령) 제16조(품목의 재등록신청 등)</t>
    <phoneticPr fontId="2" type="noConversion"/>
  </si>
  <si>
    <t>농약관리법 시행령(대통령령) 제6조(시험성적서 등의 제출 면제 대상 품목 등)</t>
    <phoneticPr fontId="2" type="noConversion"/>
  </si>
  <si>
    <t>농약관리법(법률) 제14조의2(직권 이외의 사유에 의한 품목등록의 취소 등)</t>
    <phoneticPr fontId="2" type="noConversion"/>
  </si>
  <si>
    <t>농약관리법(법률) 제29조(청문)</t>
    <phoneticPr fontId="2" type="noConversion"/>
  </si>
  <si>
    <t>농약관리법(법률) 제6조(폐업의 신고)</t>
    <phoneticPr fontId="2" type="noConversion"/>
  </si>
  <si>
    <t>농약관리법 시행령(대통령령) 제22조(권한의 위임위탁)</t>
    <phoneticPr fontId="2" type="noConversion"/>
  </si>
  <si>
    <t>농약관리법 시행규칙(농림축산식품부령) 제9조(폐업의 신고)</t>
    <phoneticPr fontId="2" type="noConversion"/>
  </si>
  <si>
    <t>농약관리법(법률) 제5조(제조업자 등의 지위승계)</t>
    <phoneticPr fontId="2" type="noConversion"/>
  </si>
  <si>
    <t>농약관리법 시행규칙(농림축산식품부령) 제6조(제조업등의 인력시설 및 장비 등의 기준)</t>
    <phoneticPr fontId="2" type="noConversion"/>
  </si>
  <si>
    <t>농약관리법 시행규칙(농림축산식품부령) 제6조의2(수출입식물방제업 등의 인력시설장비 등의 기준)</t>
    <phoneticPr fontId="2" type="noConversion"/>
  </si>
  <si>
    <t>농약관리법(법률) 제31조(권한의 위임위탁)</t>
    <phoneticPr fontId="2" type="noConversion"/>
  </si>
  <si>
    <t>농약관리법(법률) 제5조의2(행정처분 효과의 승계)</t>
    <phoneticPr fontId="2" type="noConversion"/>
  </si>
  <si>
    <t>농약관리법 시행규칙(농림축산식품부령) 제24조의5(농약안전정보시스템의 구축운영에 관한 세부사항)</t>
    <phoneticPr fontId="2" type="noConversion"/>
  </si>
  <si>
    <t>먹는물관리법 시행규칙(환경부령) 제10조(영업의 허가 등)</t>
    <phoneticPr fontId="2" type="noConversion"/>
  </si>
  <si>
    <t>먹는물관리법 시행규칙(환경부령) 제30조(수출용 먹는샘물 등의 기준규격 및 표시기준 관리)</t>
    <phoneticPr fontId="2" type="noConversion"/>
  </si>
  <si>
    <t>먹는물관리법(법률) 제21조(영업의 허가 등)</t>
    <phoneticPr fontId="2" type="noConversion"/>
  </si>
  <si>
    <t>먹는물관리법 시행규칙(환경부령) 제16조(수입신고 등)</t>
    <phoneticPr fontId="2" type="noConversion"/>
  </si>
  <si>
    <t>먹는물관리법(법률) 제26조(수입신고 등)</t>
    <phoneticPr fontId="2" type="noConversion"/>
  </si>
  <si>
    <t>먹는물관리법(법률) 제12조(샘물등의 개발허가의 유효기간)</t>
    <phoneticPr fontId="2" type="noConversion"/>
  </si>
  <si>
    <t>먹는물관리법 시행규칙(환경부령) 제4조(샘물등의 개발의 임시 허가)</t>
    <phoneticPr fontId="2" type="noConversion"/>
  </si>
  <si>
    <t>먹는물관리법 시행규칙(환경부령) 제6조(샘물등의 개발허가의 유효기간 연장허가)</t>
    <phoneticPr fontId="2" type="noConversion"/>
  </si>
  <si>
    <t>먹는물관리법(법률) 제10조(샘물등의 개발의 임시 허가)</t>
    <phoneticPr fontId="2" type="noConversion"/>
  </si>
  <si>
    <t>먹는물관리법(법률) 제8조(먹는물공동시설의 관리)</t>
    <phoneticPr fontId="2" type="noConversion"/>
  </si>
  <si>
    <t>먹는물관리법 시행규칙(환경부령) 제2조(먹는물공동시설의 관리)</t>
    <phoneticPr fontId="2" type="noConversion"/>
  </si>
  <si>
    <t>먹는물관리법 시행규칙(환경부령) 제2조의2(냉온수기 또는 정수기의 설치관리)</t>
    <phoneticPr fontId="2" type="noConversion"/>
  </si>
  <si>
    <t>먹는물관리법(법률) 제42조(출입검사수거 등)</t>
    <phoneticPr fontId="2" type="noConversion"/>
  </si>
  <si>
    <t>먹는물관리법 시행령(대통령령) 제19조(과징금 산정기준)</t>
    <phoneticPr fontId="2" type="noConversion"/>
  </si>
  <si>
    <t>먹는물관리법(법률) 제51조(과징금 처분)</t>
    <phoneticPr fontId="2" type="noConversion"/>
  </si>
  <si>
    <t>먹는물관리법 시행규칙(환경부령) 제43조(과징금의 부과처분 등)</t>
    <phoneticPr fontId="2" type="noConversion"/>
  </si>
  <si>
    <t>먹는물관리법 시행령(대통령령) 제18조(과징금의 납부)</t>
    <phoneticPr fontId="2" type="noConversion"/>
  </si>
  <si>
    <t>먹는물관리법 시행령(대통령령) 제6조(품질관리인의 자격기준)</t>
    <phoneticPr fontId="2" type="noConversion"/>
  </si>
  <si>
    <t>먹는물관리법(법률) 제27조(품질관리인)</t>
    <phoneticPr fontId="2" type="noConversion"/>
  </si>
  <si>
    <t>먹는물관리법(법률) 제28조(품질관리교육)</t>
    <phoneticPr fontId="2" type="noConversion"/>
  </si>
  <si>
    <t>먹는물관리법 시행규칙(환경부령) 제17조(품질관리교육)</t>
    <phoneticPr fontId="2" type="noConversion"/>
  </si>
  <si>
    <t>먹는물관리법 시행규칙(환경부령) 제18조(교육과정 등)</t>
    <phoneticPr fontId="2" type="noConversion"/>
  </si>
  <si>
    <t>먹는물관리법 시행규칙(환경부령) 제36조의3(검사기관 기술인력 교육)</t>
    <phoneticPr fontId="2" type="noConversion"/>
  </si>
  <si>
    <t>먹는물관리법 시행규칙(환경부령) 제13조(조건부 영업허가)</t>
    <phoneticPr fontId="2" type="noConversion"/>
  </si>
  <si>
    <t>먹는물관리법(법률) 제23조(조건부 영업허가)</t>
    <phoneticPr fontId="2" type="noConversion"/>
  </si>
  <si>
    <t>먹는물관리법(법률) 제24조(영업허가 등의 제한)</t>
    <phoneticPr fontId="2" type="noConversion"/>
  </si>
  <si>
    <t>먹는물관리법(법률) 제25조(영업의 승계)</t>
    <phoneticPr fontId="2" type="noConversion"/>
  </si>
  <si>
    <t>먹는물관리법 시행규칙(환경부령) 제15조(영업의 승계)</t>
    <phoneticPr fontId="2" type="noConversion"/>
  </si>
  <si>
    <t>먹는물관리법 시행규칙(환경부령) 제11조(휴업 등의 신고)</t>
    <phoneticPr fontId="2" type="noConversion"/>
  </si>
  <si>
    <t>먹는물관리법 시행규칙(환경부령) 제3조의2(샘물등의 개발 허가 변경신고)</t>
    <phoneticPr fontId="2" type="noConversion"/>
  </si>
  <si>
    <t>먹는물관리법(법률) 제46조(폐쇄조치 등)</t>
    <phoneticPr fontId="2" type="noConversion"/>
  </si>
  <si>
    <t>먹는물관리법 시행규칙(환경부령) 제40조(사업장의 영업정지처분의 게시)</t>
    <phoneticPr fontId="2" type="noConversion"/>
  </si>
  <si>
    <t>먹는물관리법(법률) 제48조(허가의 취소 등)</t>
    <phoneticPr fontId="2" type="noConversion"/>
  </si>
  <si>
    <t>사료관리법 시행규칙(농림축산식품부령) 제5조(제조업의 등록)</t>
    <phoneticPr fontId="2" type="noConversion"/>
  </si>
  <si>
    <t>사료관리법 시행규칙(농림축산식품부령) 제12조(사료성분의 등록 등)</t>
    <phoneticPr fontId="2" type="noConversion"/>
  </si>
  <si>
    <t>사료관리법(법률) 제12조(사료의 성분등록 및 취소)</t>
    <phoneticPr fontId="2" type="noConversion"/>
  </si>
  <si>
    <t>사료관리법(법률) 제8조(제조업의 등록 등)</t>
    <phoneticPr fontId="2" type="noConversion"/>
  </si>
  <si>
    <t>사료관리법 시행규칙(농림축산식품부령) 제20조(사료의 수입신고)</t>
    <phoneticPr fontId="2" type="noConversion"/>
  </si>
  <si>
    <t>사료관리법(법률) 제13조(사료의 표시사항)</t>
    <phoneticPr fontId="2" type="noConversion"/>
  </si>
  <si>
    <t>사료관리법 시행규칙(농림축산식품부령) 제14조(사료의 표시사항)</t>
    <phoneticPr fontId="2" type="noConversion"/>
  </si>
  <si>
    <t>사료관리법(법률) 제13조의2(유전자변형농수축산물등의 표시)</t>
    <phoneticPr fontId="2" type="noConversion"/>
  </si>
  <si>
    <t>사료관리법 시행규칙(농림축산식품부령) 제16조(위해요소중점관리기준 적용 사료공장의 지정신청 등)</t>
    <phoneticPr fontId="2" type="noConversion"/>
  </si>
  <si>
    <t>사료관리법 시행령(대통령령) 제4조(사료공장의 위해요소중점관리 담당기관 지정 등)</t>
    <phoneticPr fontId="2" type="noConversion"/>
  </si>
  <si>
    <t>사료관리법(법률) 제17조(사료공장의 위해요소중점관리 담당기관 지원 등)</t>
    <phoneticPr fontId="2" type="noConversion"/>
  </si>
  <si>
    <t>사료관리법 시행규칙(농림축산식품부령) 제18조(위해요소중점관리기준 적용 사료공장의 지정취소 등)</t>
    <phoneticPr fontId="2" type="noConversion"/>
  </si>
  <si>
    <t>사료관리법(법률) 제4조(적용 배제)</t>
    <phoneticPr fontId="2" type="noConversion"/>
  </si>
  <si>
    <t>사료관리법 시행규칙(농림축산식품부령) 제3조(수출목적으로 제조한 사료에 대한 적용 배제)</t>
    <phoneticPr fontId="2" type="noConversion"/>
  </si>
  <si>
    <t>사료관리법 시행규칙(농림축산식품부령) 제34조(사료의 폐기 등의 조치)</t>
    <phoneticPr fontId="2" type="noConversion"/>
  </si>
  <si>
    <t>사료관리법(법률) 제7조(사료의 용도 외 판매금지)</t>
    <phoneticPr fontId="2" type="noConversion"/>
  </si>
  <si>
    <t>사료관리법 시행규칙(농림축산식품부령) 제4조(사료의 용도)</t>
    <phoneticPr fontId="2" type="noConversion"/>
  </si>
  <si>
    <t>사료관리법(법률) 제14조(제조수입판매 또는 사용 등의 금지)</t>
    <phoneticPr fontId="2" type="noConversion"/>
  </si>
  <si>
    <t>사료관리법(법률) 제19조(사료의 수입신고 등)</t>
    <phoneticPr fontId="2" type="noConversion"/>
  </si>
  <si>
    <t>사료관리법 시행규칙(농림축산식품부령) 제24조(출입검사 등)</t>
    <phoneticPr fontId="2" type="noConversion"/>
  </si>
  <si>
    <t>사료관리법(법률) 제20조(자가품질검사)</t>
    <phoneticPr fontId="2" type="noConversion"/>
  </si>
  <si>
    <t>사료관리법 시행규칙(농림축산식품부령) 제21조(자가품질검사)</t>
    <phoneticPr fontId="2" type="noConversion"/>
  </si>
  <si>
    <t>사료관리법 시행규칙(농림축산식품부령) 제30조(검정방법 등)</t>
    <phoneticPr fontId="2" type="noConversion"/>
  </si>
  <si>
    <t>사료관리법 시행규칙(농림축산식품부령) 제32조(사료의 재검사 등)</t>
    <phoneticPr fontId="2" type="noConversion"/>
  </si>
  <si>
    <t>사료관리법 시행규칙(농림축산식품부령) 제23조(사료검사의 종류)</t>
    <phoneticPr fontId="2" type="noConversion"/>
  </si>
  <si>
    <t>사료관리법(법률) 제21조(사료검사)</t>
    <phoneticPr fontId="2" type="noConversion"/>
  </si>
  <si>
    <t>사료관리법 시행규칙(농림축산식품부령) 제28조(사료검사원의 직무 등)</t>
    <phoneticPr fontId="2" type="noConversion"/>
  </si>
  <si>
    <t>사료관리법 시행규칙(농림축산식품부령) 제25조(사료의 검사방법 등)</t>
    <phoneticPr fontId="2" type="noConversion"/>
  </si>
  <si>
    <t>사료관리법 시행규칙(농림축산식품부령) 제7조(시설 변경의 신고범위 등)</t>
    <phoneticPr fontId="2" type="noConversion"/>
  </si>
  <si>
    <t>사료관리법 시행규칙(농림축산식품부령) 제11조(사료공정의 설정 절차 등)</t>
    <phoneticPr fontId="2" type="noConversion"/>
  </si>
  <si>
    <t>축산물 위생관리법(법률) 제7조(가축의 도살 등)</t>
    <phoneticPr fontId="2" type="noConversion"/>
  </si>
  <si>
    <t>축산물 위생관리법 시행규칙(총리령) 제5조의2(자가소비 또는 자가 조리판매하는 가축 또는 식육의 검사 등)</t>
    <phoneticPr fontId="2" type="noConversion"/>
  </si>
  <si>
    <t>축산물 위생관리법 시행규칙(총리령) 제5조(도축장 외의 장소에서 도살처리한 가축의 신고 등)</t>
    <phoneticPr fontId="2" type="noConversion"/>
  </si>
  <si>
    <t>축산물 위생관리법(법률) 제4조(축산물의 기준 및 규격)</t>
    <phoneticPr fontId="2" type="noConversion"/>
  </si>
  <si>
    <t>축산물 위생관리법 시행규칙(총리령) 제17조(검사기록부)</t>
    <phoneticPr fontId="2" type="noConversion"/>
  </si>
  <si>
    <t>축산물 위생관리법 시행규칙(총리령) 제6조(위생관리기준 등)</t>
    <phoneticPr fontId="2" type="noConversion"/>
  </si>
  <si>
    <t>축산물 위생관리법(법률) 제8조(위생관리기준)</t>
    <phoneticPr fontId="2" type="noConversion"/>
  </si>
  <si>
    <t>축산물 위생관리법(법률) 제31조의4(축산물가공품이력추적관리 정보의 기록 등)</t>
    <phoneticPr fontId="2" type="noConversion"/>
  </si>
  <si>
    <t>축산물 위생관리법 시행규칙(총리령) 제7조의4(영업자 등에 대한 교육훈련)</t>
    <phoneticPr fontId="2" type="noConversion"/>
  </si>
  <si>
    <t>축산물 위생관리법(법률) 제30조(위생교육)</t>
    <phoneticPr fontId="2" type="noConversion"/>
  </si>
  <si>
    <t>축산물 위생관리법 시행규칙(총리령) 제49조(교육의 시기 및 방법 등)</t>
    <phoneticPr fontId="2" type="noConversion"/>
  </si>
  <si>
    <t>축산물 위생관리법 시행규칙(총리령) 제50조의2(위생교육 대상자)</t>
    <phoneticPr fontId="2" type="noConversion"/>
  </si>
  <si>
    <t>축산물 위생관리법 시행규칙(총리령) 제53조(판매 등이 허용되는 축산물)</t>
    <phoneticPr fontId="2" type="noConversion"/>
  </si>
  <si>
    <t>축산물 위생관리법(법률) 제33조(판매 등의 금지)</t>
    <phoneticPr fontId="2" type="noConversion"/>
  </si>
  <si>
    <t>축산물 위생관리법 시행규칙(총리령) 제14조(영업자의 검사)</t>
    <phoneticPr fontId="2" type="noConversion"/>
  </si>
  <si>
    <t>축산물 위생관리법 시행령(대통령령) 제6조(위원장 및 부위원장의 직무)</t>
    <phoneticPr fontId="2" type="noConversion"/>
  </si>
  <si>
    <t>축산물 위생관리법(법률) 제3조의2(축산물위생심의위원회의 설치 등)</t>
    <phoneticPr fontId="2" type="noConversion"/>
  </si>
  <si>
    <t>축산물 위생관리법 시행령(대통령령) 제20조의2(축산물위생감시원의 자격 및 직무범위 등)</t>
    <phoneticPr fontId="2" type="noConversion"/>
  </si>
  <si>
    <t>축산물 위생관리법 시행령(대통령령) 제10조(간사)</t>
    <phoneticPr fontId="2" type="noConversion"/>
  </si>
  <si>
    <t>축산물 위생관리법 시행령(대통령령) 제6조의3(위원의 제척기피회피)</t>
    <phoneticPr fontId="2" type="noConversion"/>
  </si>
  <si>
    <t>축산물 위생관리법 시행령(대통령령) 제6조의2(위원의 해촉)</t>
    <phoneticPr fontId="2" type="noConversion"/>
  </si>
  <si>
    <t>축산물 위생관리법 시행규칙(총리령) 제61조(벌칙에서 제외되는 자)</t>
    <phoneticPr fontId="2" type="noConversion"/>
  </si>
  <si>
    <t>축산물 위생관리법 시행령(대통령령) 제26조의5(위해 축산물을 회수한 영업자에 대한 행정처분의 감면)</t>
    <phoneticPr fontId="2" type="noConversion"/>
  </si>
  <si>
    <t>축산물 위생관리법 시행령(대통령령) 제16조(책임수의사의 지정해제 등)</t>
    <phoneticPr fontId="2" type="noConversion"/>
  </si>
  <si>
    <t>축산물 위생관리법 시행령(대통령령) 제31조(권한 또는 업무의 위임위탁)</t>
    <phoneticPr fontId="2" type="noConversion"/>
  </si>
  <si>
    <t>축산물 위생관리법(법률) 제2조(정의)</t>
    <phoneticPr fontId="2" type="noConversion"/>
  </si>
  <si>
    <t>축산물 위생관리법 시행령(대통령령) 제2조(가축의 범위 등)</t>
    <phoneticPr fontId="2" type="noConversion"/>
  </si>
  <si>
    <t>축산물 위생관리법 시행령(대통령령) 제9조의2(연구위원)</t>
    <phoneticPr fontId="2" type="noConversion"/>
  </si>
  <si>
    <t>축산물 위생관리법 시행령(대통령령) 제21조(영업의 세부 종류와 범위)</t>
    <phoneticPr fontId="2" type="noConversion"/>
  </si>
  <si>
    <t>축산물 위생관리법(법률) 제10조(부정행위의 금지)</t>
    <phoneticPr fontId="2" type="noConversion"/>
  </si>
  <si>
    <t>축산물 위생관리법(법률) 제45조(벌칙)</t>
    <phoneticPr fontId="2" type="noConversion"/>
  </si>
  <si>
    <t>식품ㆍ의약품분야 시험ㆍ검사 등에 관한 법률 시행규칙(총리령) 제5조(시험검사기관 지정 유효기간의 연장)</t>
    <phoneticPr fontId="2" type="noConversion"/>
  </si>
  <si>
    <t>식품ㆍ의약품분야 시험ㆍ검사 등에 관한 법률(법률) 제7조(시험검사기관 지정의 유효기간 등)</t>
    <phoneticPr fontId="2" type="noConversion"/>
  </si>
  <si>
    <t>식품ㆍ의약품분야 시험ㆍ검사 등에 관한 법률 시행규칙(총리령) 제8조의2(국외시험검사기관 지정 유효기간의 연장)</t>
    <phoneticPr fontId="2" type="noConversion"/>
  </si>
  <si>
    <t>식품ㆍ의약품분야 시험ㆍ검사 등에 관한 법률 시행규칙(총리령) 제6조(시험검사기관의 재지정)</t>
    <phoneticPr fontId="2" type="noConversion"/>
  </si>
  <si>
    <t>식품ㆍ의약품분야 시험ㆍ검사 등에 관한 법률 시행규칙(총리령) 제4조(시험검사기관의 지정사항 변경)</t>
    <phoneticPr fontId="2" type="noConversion"/>
  </si>
  <si>
    <t>식품ㆍ의약품분야 시험ㆍ검사 등에 관한 법률 시행규칙(총리령) 제8조(국외시험검사기관의 지정사항 변경)</t>
    <phoneticPr fontId="2" type="noConversion"/>
  </si>
  <si>
    <t>식품ㆍ의약품분야 시험ㆍ검사 등에 관한 법률 시행규칙(총리령) 제9조(시험검사기관의 지위 승계 신고)</t>
    <phoneticPr fontId="2" type="noConversion"/>
  </si>
  <si>
    <t>식품ㆍ의약품분야 시험ㆍ검사 등에 관한 법률 시행규칙(총리령) 제17조(우수시험검사기관의 변경지정)</t>
    <phoneticPr fontId="2" type="noConversion"/>
  </si>
  <si>
    <t>식품ㆍ의약품분야 시험ㆍ검사 등에 관한 법률(법률) 제8조(국외시험검사기관의 지정 등)</t>
    <phoneticPr fontId="2" type="noConversion"/>
  </si>
  <si>
    <t>식품ㆍ의약품분야 시험ㆍ검사 등에 관한 법률 시행규칙(총리령) 제7조(국외시험검사기관의 지정 등)</t>
    <phoneticPr fontId="2" type="noConversion"/>
  </si>
  <si>
    <t>식품ㆍ의약품분야 시험ㆍ검사 등에 관한 법률(법률) 제6조(시험검사기관의 지정 등)</t>
    <phoneticPr fontId="2" type="noConversion"/>
  </si>
  <si>
    <t>식품ㆍ의약품분야 시험ㆍ검사 등에 관한 법률(법률) 제22조(보고와 출입 등)</t>
    <phoneticPr fontId="2" type="noConversion"/>
  </si>
  <si>
    <t>식품ㆍ의약품분야 시험ㆍ검사 등에 관한 법률(법률) 제13조(우수시험검사기관의 지정)</t>
    <phoneticPr fontId="2" type="noConversion"/>
  </si>
  <si>
    <t>식품ㆍ의약품분야 시험ㆍ검사 등에 관한 법률 시행규칙(총리령) 제16조(우수시험검사기관의 지정 등)</t>
    <phoneticPr fontId="2" type="noConversion"/>
  </si>
  <si>
    <t>식품ㆍ의약품분야 시험ㆍ검사 등에 관한 법률 시행규칙(총리령) 제22조(시험검사인력 등의 교육기관 지정)</t>
    <phoneticPr fontId="2" type="noConversion"/>
  </si>
  <si>
    <t>식품ㆍ의약품분야 시험ㆍ검사 등에 관한 법률(법률) 제18조(교육기관)</t>
    <phoneticPr fontId="2" type="noConversion"/>
  </si>
  <si>
    <t>식품ㆍ의약품분야 시험ㆍ검사 등에 관한 법률 시행규칙(총리령) 제21조(시험검사인력 등의 교육시간 등)</t>
    <phoneticPr fontId="2" type="noConversion"/>
  </si>
  <si>
    <t>식품ㆍ의약품분야 시험ㆍ검사 등에 관한 법률(법률) 제17조(교육)</t>
    <phoneticPr fontId="2" type="noConversion"/>
  </si>
  <si>
    <t>식품ㆍ의약품분야 시험ㆍ검사 등에 관한 법률(법률) 제10조(시험검사기관의 지정취소 등)</t>
    <phoneticPr fontId="2" type="noConversion"/>
  </si>
  <si>
    <t>식품ㆍ의약품분야 시험ㆍ검사 등에 관한 법률 시행규칙(총리령) 제10조(시험검사기관 등에 대한 행정처분 기준)</t>
    <phoneticPr fontId="2" type="noConversion"/>
  </si>
  <si>
    <t>식품ㆍ의약품분야 시험ㆍ검사 등에 관한 법률(법률) 제19조(폐쇄조치 등)</t>
    <phoneticPr fontId="2" type="noConversion"/>
  </si>
  <si>
    <t>식품ㆍ의약품분야 시험ㆍ검사 등에 관한 법률(법률) 제11조(시험검사의 절차 등)</t>
    <phoneticPr fontId="2" type="noConversion"/>
  </si>
  <si>
    <t>식품ㆍ의약품분야 시험ㆍ검사 등에 관한 법률 시행규칙(총리령) 제13조(시험검사 실적의 보고)</t>
    <phoneticPr fontId="2" type="noConversion"/>
  </si>
  <si>
    <t>식품ㆍ의약품분야 시험ㆍ검사 등에 관한 법률 시행규칙(총리령) 제12조(시험검사의 절차)</t>
    <phoneticPr fontId="2" type="noConversion"/>
  </si>
  <si>
    <t>식품ㆍ의약품분야 시험ㆍ검사 등에 관한 법률(법률) 제12조(시험검사기관의 준수사항)</t>
    <phoneticPr fontId="2" type="noConversion"/>
  </si>
  <si>
    <t>식품ㆍ의약품분야 시험ㆍ검사 등에 관한 법률 시행규칙(총리령) 제20조(시험검사 능력 평가 및 관리)</t>
    <phoneticPr fontId="2" type="noConversion"/>
  </si>
  <si>
    <t>식품ㆍ의약품분야 시험ㆍ검사 등에 관한 법률(법률) 제16조(시험검사 능력 평가 및 관리)</t>
    <phoneticPr fontId="2" type="noConversion"/>
  </si>
  <si>
    <t>식품ㆍ의약품분야 시험ㆍ검사 등에 관한 법률 시행규칙(총리령) 제11조(시험검사의 기준 및 방법)</t>
    <phoneticPr fontId="2" type="noConversion"/>
  </si>
  <si>
    <t>식품ㆍ의약품분야 시험ㆍ검사 등에 관한 법률(법률) 제9조(시험검사기관의 승계)</t>
    <phoneticPr fontId="2" type="noConversion"/>
  </si>
  <si>
    <t>식품ㆍ의약품분야 시험ㆍ검사 등에 관한 법률 시행규칙(총리령) 제2조(시험검사기관의 지정)</t>
    <phoneticPr fontId="2" type="noConversion"/>
  </si>
  <si>
    <t>건강기능식품에 관한 법률 시행규칙(총리령) 제3조(영업허가의 신청)</t>
    <phoneticPr fontId="2" type="noConversion"/>
  </si>
  <si>
    <t>건강기능식품에 관한 법률(법률) 제5조(영업의 허가 등)</t>
    <phoneticPr fontId="2" type="noConversion"/>
  </si>
  <si>
    <t>건강기능식품에 관한 법률 시행규칙(총리령) 제4조(허가사항의 변경)</t>
    <phoneticPr fontId="2" type="noConversion"/>
  </si>
  <si>
    <t>건강기능식품에 관한 법률(법률) 제7조(품목제조신고 등)</t>
    <phoneticPr fontId="2" type="noConversion"/>
  </si>
  <si>
    <t>건강기능식품에 관한 법률 시행규칙(총리령) 제6조(신고사항의 변경)</t>
    <phoneticPr fontId="2" type="noConversion"/>
  </si>
  <si>
    <t>건강기능식품에 관한 법률 시행규칙(총리령) 제8조(품목제조신고 등)</t>
    <phoneticPr fontId="2" type="noConversion"/>
  </si>
  <si>
    <t>건강기능식품에 관한 법률 시행규칙(총리령) 제9조(품목제조신고사항의 변경신고)</t>
    <phoneticPr fontId="2" type="noConversion"/>
  </si>
  <si>
    <t>건강기능식품에 관한 법률 시행규칙(총리령) 제16조(품질관리인의 선임해임신고)</t>
    <phoneticPr fontId="2" type="noConversion"/>
  </si>
  <si>
    <t>건강기능식품에 관한 법률 시행령(대통령령) 제4조(품질관리인의 자격기준)</t>
    <phoneticPr fontId="2" type="noConversion"/>
  </si>
  <si>
    <t>건강기능식품에 관한 법률(법률) 제12조(품질관리인)</t>
    <phoneticPr fontId="2" type="noConversion"/>
  </si>
  <si>
    <t>건강기능식품에 관한 법률 시행규칙(총리령) 제15조(품질관리인의 수)</t>
    <phoneticPr fontId="2" type="noConversion"/>
  </si>
  <si>
    <t>건강기능식품에 관한 법률(법률) 제24조(기준규격 위반 건강기능식품의 판매 등의 금지)</t>
    <phoneticPr fontId="2" type="noConversion"/>
  </si>
  <si>
    <t>건강기능식품에 관한 법률(법률) 제10조(영업자의 준수사항)</t>
    <phoneticPr fontId="2" type="noConversion"/>
  </si>
  <si>
    <t>건강기능식품에 관한 법률(법률) 제14조(기준 및 규격)</t>
    <phoneticPr fontId="2" type="noConversion"/>
  </si>
  <si>
    <t>건강기능식품에 관한 법률(법률) 제30조(폐기처분 등)</t>
    <phoneticPr fontId="2" type="noConversion"/>
  </si>
  <si>
    <t>건강기능식품에 관한 법률 시행규칙(총리령) 제16조의3(맞춤형건강기능식품관리사의 수)</t>
    <phoneticPr fontId="2" type="noConversion"/>
  </si>
  <si>
    <t>건강기능식품에 관한 법률 시행령(대통령령) 제5조의2(맞춤형건강기능식품관리사의 자격기준)</t>
    <phoneticPr fontId="2" type="noConversion"/>
  </si>
  <si>
    <t>건강기능식품에 관한 법률(법률) 제12조의3(맞춤형건강기능식품관리사)</t>
    <phoneticPr fontId="2" type="noConversion"/>
  </si>
  <si>
    <t>건강기능식품에 관한 법률 시행규칙(총리령) 제16조의4(맞춤형건강기능식품관리사의 선임해임신고)</t>
    <phoneticPr fontId="2" type="noConversion"/>
  </si>
  <si>
    <t>건강기능식품에 관한 법률 시행규칙(총리령) 제16조의2(품질관리인의 직무 수행내역 등 기록보관)</t>
    <phoneticPr fontId="2" type="noConversion"/>
  </si>
  <si>
    <t>건강기능식품에 관한 법률 시행령(대통령령) 제5조(품질관리인의 준수사항)</t>
    <phoneticPr fontId="2" type="noConversion"/>
  </si>
  <si>
    <t>건강기능식품에 관한 법률 시행규칙(총리령) 제13조(생산실적의 보고)</t>
    <phoneticPr fontId="2" type="noConversion"/>
  </si>
  <si>
    <t>건강기능식품에 관한 법률(법률) 제10조의2(이상사례의 보고 등)</t>
    <phoneticPr fontId="2" type="noConversion"/>
  </si>
  <si>
    <t>건강기능식품에 관한 법률 시행규칙(총리령) 제13조의2(이상사례의 보고)</t>
    <phoneticPr fontId="2" type="noConversion"/>
  </si>
  <si>
    <t>건강기능식품에 관한 법률 시행령(대통령령) 제3조의3(이상사례의 보고 접수 업무 등의 위탁)</t>
    <phoneticPr fontId="2" type="noConversion"/>
  </si>
  <si>
    <t>건강기능식품에 관한 법률 시행령(대통령령) 제20조의2(민감정보 및 고유식별정보의 처리)</t>
    <phoneticPr fontId="2" type="noConversion"/>
  </si>
  <si>
    <t>건강기능식품에 관한 법률(법률) 제11조(영업의 승계)</t>
    <phoneticPr fontId="2" type="noConversion"/>
  </si>
  <si>
    <t>건강기능식품에 관한 법률 시행규칙(총리령) 제14조(영업자의 지위승계신고)</t>
    <phoneticPr fontId="2" type="noConversion"/>
  </si>
  <si>
    <t>건강기능식품에 관한 법률(법률) 제6조(영업의 신고 등)</t>
    <phoneticPr fontId="2" type="noConversion"/>
  </si>
  <si>
    <t>수입식품안전관리 특별법 시행규칙(총리령) 제2조(해외제조업소의 등록 등)</t>
    <phoneticPr fontId="2" type="noConversion"/>
  </si>
  <si>
    <t>수입식품안전관리 특별법(법률) 제5조(해외제조업소 등록)</t>
    <phoneticPr fontId="2" type="noConversion"/>
  </si>
  <si>
    <t>수입식품안전관리 특별법(법률) 제12조(해외작업장의 등록 등)</t>
    <phoneticPr fontId="2" type="noConversion"/>
  </si>
  <si>
    <t>수입식품안전관리 특별법(법률) 제5조의2(해외제조업소의 등록 취소 등)</t>
    <phoneticPr fontId="2" type="noConversion"/>
  </si>
  <si>
    <t>수입식품안전관리 특별법(법률) 제6조의2(해외제조업소 식품안전관리인증 등)</t>
    <phoneticPr fontId="2" type="noConversion"/>
  </si>
  <si>
    <t>수입식품안전관리 특별법 시행규칙(총리령) 제3조(수입중단 조치 및 해제조치의 절차)</t>
    <phoneticPr fontId="2" type="noConversion"/>
  </si>
  <si>
    <t>수입식품안전관리 특별법 시행규칙(총리령) 제34조(수입식품등의 사후관리)</t>
    <phoneticPr fontId="2" type="noConversion"/>
  </si>
  <si>
    <t>수입식품안전관리 특별법(법률) 제20조(수입신고 등)</t>
    <phoneticPr fontId="2" type="noConversion"/>
  </si>
  <si>
    <t>수입식품안전관리 특별법(법률) 제23조(수입식품등의 유통이력추적관리)</t>
    <phoneticPr fontId="2" type="noConversion"/>
  </si>
  <si>
    <t>수입식품안전관리 특별법 시행규칙(총리령) 제4조(우수수입업소 등록 등)</t>
    <phoneticPr fontId="2" type="noConversion"/>
  </si>
  <si>
    <t>수입식품안전관리 특별법(법률) 제7조(우수수입업소 등록 등)</t>
    <phoneticPr fontId="2" type="noConversion"/>
  </si>
  <si>
    <t>수입식품안전관리 특별법 시행령(대통령령) 제2조(영업의 종류와 범위)</t>
    <phoneticPr fontId="2" type="noConversion"/>
  </si>
  <si>
    <t>수입식품안전관리 특별법(법률) 제14조(영업의 종류와 시설기준)</t>
    <phoneticPr fontId="2" type="noConversion"/>
  </si>
  <si>
    <t>수입식품안전관리 특별법(법률) 제2조(정의)</t>
    <phoneticPr fontId="2" type="noConversion"/>
  </si>
  <si>
    <t>수입식품안전관리 특별법 시행령(대통령령) 제6조(행정응원의 절차 등)</t>
    <phoneticPr fontId="2" type="noConversion"/>
  </si>
  <si>
    <t>수입식품안전관리 특별법 시행규칙(총리령) 제49조의3(자료 또는 정보의 제공 및 연계 요청)</t>
    <phoneticPr fontId="2" type="noConversion"/>
  </si>
  <si>
    <t>수입식품안전관리 특별법(법률) 제35조(위반사실 공표)</t>
    <phoneticPr fontId="2" type="noConversion"/>
  </si>
  <si>
    <t>수입식품안전관리 특별법 시행령(대통령령) 제6조의2(직접구매 해외식품등에 대한 실태조사를 위한 자료 제공 요청)</t>
    <phoneticPr fontId="2" type="noConversion"/>
  </si>
  <si>
    <t>수입식품안전관리 특별법(법률) 제29조(등록취소 등)</t>
    <phoneticPr fontId="2" type="noConversion"/>
  </si>
  <si>
    <t>수입식품안전관리 특별법(법률) 제33조(영업정지 등의 처분을 갈음하여 부과하는 과징금 처분)</t>
    <phoneticPr fontId="2" type="noConversion"/>
  </si>
  <si>
    <t>수입식품안전관리 특별법(법률) 제31조(폐쇄조치 등)</t>
    <phoneticPr fontId="2" type="noConversion"/>
  </si>
  <si>
    <t>수입식품안전관리 특별법 시행령(대통령령) 제7조(등록취소 등)</t>
    <phoneticPr fontId="2" type="noConversion"/>
  </si>
  <si>
    <t>수입식품안전관리 특별법 시행령(대통령령) 제12조(위해 수입식품등의 판매 등에 따른 과징금의 산정기준 등)</t>
    <phoneticPr fontId="2" type="noConversion"/>
  </si>
  <si>
    <t>수입식품안전관리 특별법(법률) 제34조(위해 수입식품등의 판매 등에 따른 과징금 부과 등)</t>
    <phoneticPr fontId="2" type="noConversion"/>
  </si>
  <si>
    <t>수입식품안전관리 특별법 시행령(대통령령) 제10조(과징금의 부과 및 납부 절차)</t>
    <phoneticPr fontId="2" type="noConversion"/>
  </si>
  <si>
    <t>수입식품안전관리 특별법 시행령(대통령령) 제11조(과징금 부과처분 취소 대상자 등)</t>
    <phoneticPr fontId="2" type="noConversion"/>
  </si>
  <si>
    <t>수입식품안전관리 특별법 시행규칙(총리령) 제7조(해외식품 위생평가기관의 지정 등)</t>
    <phoneticPr fontId="2" type="noConversion"/>
  </si>
  <si>
    <t>수입식품안전관리 특별법(법률) 제10조(해외식품 위생평가기관 지정 등)</t>
    <phoneticPr fontId="2" type="noConversion"/>
  </si>
  <si>
    <t>수입식품안전관리 특별법 시행규칙(총리령) 제9조(해외식품 위생평가기관 지정의 유효기간 연장 및 재지정)</t>
    <phoneticPr fontId="2" type="noConversion"/>
  </si>
  <si>
    <t>수입식품안전관리 특별법 시행규칙(총리령) 제8조(해외식품 위생평가기관의 변경지정 등)</t>
    <phoneticPr fontId="2" type="noConversion"/>
  </si>
  <si>
    <t>식품위생법 시행규칙(총리령) 제5조(식품등의 한시적 기준 및 규격의 인정 등)</t>
    <phoneticPr fontId="2" type="noConversion"/>
  </si>
  <si>
    <t>식품위생법(법률) 제7조(식품 또는 식품첨가물에 관한 기준 및 규격)</t>
    <phoneticPr fontId="2" type="noConversion"/>
  </si>
  <si>
    <t>식품위생법(법률) 제3조(식품 등의 취급)</t>
    <phoneticPr fontId="2" type="noConversion"/>
  </si>
  <si>
    <t>식품위생법 시행령(대통령령) 제9조(유전자변형식품등의 안전성 심사)</t>
    <phoneticPr fontId="2" type="noConversion"/>
  </si>
  <si>
    <t>식품위생법(법률) 제5조(병든 동물 고기 등의 판매 등 금지)</t>
    <phoneticPr fontId="2" type="noConversion"/>
  </si>
  <si>
    <t>식품위생법 시행규칙(총리령) 제4조(판매 등이 금지되는 병든 동물 고기 등)</t>
    <phoneticPr fontId="2" type="noConversion"/>
  </si>
  <si>
    <t>식품위생법(법률) 제93조(벌칙)</t>
    <phoneticPr fontId="2" type="noConversion"/>
  </si>
  <si>
    <t>식품위생법(법률) 제4조(위해식품등의 판매 등 금지)</t>
    <phoneticPr fontId="2" type="noConversion"/>
  </si>
  <si>
    <t>식품위생법 시행규칙(총리령) 제31조의2(자가품질검사의무의 면제)</t>
    <phoneticPr fontId="2" type="noConversion"/>
  </si>
  <si>
    <t>식품위생법(법률) 제31조의2(자가품질검사의무의 면제)</t>
    <phoneticPr fontId="2" type="noConversion"/>
  </si>
  <si>
    <t>식품위생법(법률) 제31조(자가품질검사 의무)</t>
    <phoneticPr fontId="2" type="noConversion"/>
  </si>
  <si>
    <t>식품위생법(법률) 제31조의3(자가품질검사의 확인검사)</t>
    <phoneticPr fontId="2" type="noConversion"/>
  </si>
  <si>
    <t>식품위생법(법률) 제44조(영업자 등의 준수사항)</t>
    <phoneticPr fontId="2" type="noConversion"/>
  </si>
  <si>
    <t>식품위생법(법률) 제19조의4(검사명령 등)</t>
    <phoneticPr fontId="2" type="noConversion"/>
  </si>
  <si>
    <t>식품위생법 시행령(대통령령) 제20조(소비자 위생점검 참여 등)</t>
    <phoneticPr fontId="2" type="noConversion"/>
  </si>
  <si>
    <t>식품위생법(법률) 제17조(위해식품등에 대한 긴급대응)</t>
    <phoneticPr fontId="2" type="noConversion"/>
  </si>
  <si>
    <t>식품위생법 시행규칙(총리령) 제10조(긴급대응의 대상 등)</t>
    <phoneticPr fontId="2" type="noConversion"/>
  </si>
  <si>
    <t>식품위생법(법률) 제21조(특정 식품등의 수입판매 등 금지)</t>
    <phoneticPr fontId="2" type="noConversion"/>
  </si>
  <si>
    <t>식품위생법 시행령(대통령령) 제7조(위해식품등에 대한 긴급대응)</t>
    <phoneticPr fontId="2" type="noConversion"/>
  </si>
  <si>
    <t>식품위생법(법률) 제12조의2(유전자변형식품등의 표시)</t>
    <phoneticPr fontId="2" type="noConversion"/>
  </si>
  <si>
    <t>식품위생법 시행령(대통령령) 제26조의2(등록하여야 하는 영업)</t>
    <phoneticPr fontId="2" type="noConversion"/>
  </si>
  <si>
    <t>식품위생법 시행령(대통령령) 제26조(신고를 하여야 하는 변경사항)</t>
    <phoneticPr fontId="2" type="noConversion"/>
  </si>
  <si>
    <t>식품위생법 시행령(대통령령) 제21조(영업의 종류)</t>
    <phoneticPr fontId="2" type="noConversion"/>
  </si>
  <si>
    <t>식품위생법 시행령(대통령령) 제25조(영업신고를 하여야 하는 업종)</t>
    <phoneticPr fontId="2" type="noConversion"/>
  </si>
  <si>
    <t>식품위생법 시행규칙(총리령) 제42조(영업의 신고 등)</t>
    <phoneticPr fontId="2" type="noConversion"/>
  </si>
  <si>
    <t>식품위생법 시행령(대통령령) 제30조(책임보험의 종류 등)</t>
    <phoneticPr fontId="2" type="noConversion"/>
  </si>
  <si>
    <t>식품위생법(법률) 제44조의2(보험 가입)</t>
    <phoneticPr fontId="2" type="noConversion"/>
  </si>
  <si>
    <t>식품위생법 시행령(대통령령) 제66조(규제의 재검토)</t>
    <phoneticPr fontId="2" type="noConversion"/>
  </si>
  <si>
    <t>식품위생법 시행령(대통령령) 제50조(자율지도원의 임명 및 직무 등)</t>
    <phoneticPr fontId="2" type="noConversion"/>
  </si>
  <si>
    <t>식품위생법(법률) 제63조(자율지도원 등)</t>
    <phoneticPr fontId="2" type="noConversion"/>
  </si>
  <si>
    <t>식품위생법(법률) 제70조의10(지도감독 등)</t>
    <phoneticPr fontId="2" type="noConversion"/>
  </si>
  <si>
    <t>식품위생법 시행규칙(총리령) 제86조의6(주관기관에 대한 지도감독)</t>
    <phoneticPr fontId="2" type="noConversion"/>
  </si>
  <si>
    <t>식품위생법 시행령(대통령령) 제32조의2(위생등급 지정에 관한 업무의 위탁)</t>
    <phoneticPr fontId="2" type="noConversion"/>
  </si>
  <si>
    <t>식품위생법 시행규칙(총리령) 제61조의2(위생등급의 지정절차 및 위생등급 공표표시의 방법 등)</t>
    <phoneticPr fontId="2" type="noConversion"/>
  </si>
  <si>
    <t>식품위생법(법률) 제47조의2(식품접객업소의 위생등급 지정 등)</t>
    <phoneticPr fontId="2" type="noConversion"/>
  </si>
  <si>
    <t>식품위생법 시행령(대통령령) 제34조(식품안전관리인증기준적용업소에 관한 업무의 위탁 등)</t>
    <phoneticPr fontId="2" type="noConversion"/>
  </si>
  <si>
    <t>한국식품안전관리인증원의 설립 및 운영에 관한 법률 시행령(대통령령) 제3조(사업계획서 등의 제출)</t>
    <phoneticPr fontId="2" type="noConversion"/>
  </si>
  <si>
    <t>한국식품안전관리인증원의 설립 및 운영에 관한 법률 시행령(대통령령) 제2조(사업계획서 및 예산서의 제출에 관한 특례)</t>
    <phoneticPr fontId="2" type="noConversion"/>
  </si>
  <si>
    <t>한국식품안전관리인증원의 설립 및 운영에 관한 법률(법률) 제13조(사업계획서 등의 제출)</t>
    <phoneticPr fontId="2" type="noConversion"/>
  </si>
  <si>
    <t>한국식품안전관리인증원의 설립 및 운영에 관한 법률(법률) 제12조(사업연도)</t>
    <phoneticPr fontId="2" type="noConversion"/>
  </si>
  <si>
    <t>한국식품안전관리인증원의 설립 및 운영에 관한 법률(법률) 제14조(지도감독 등)</t>
    <phoneticPr fontId="2" type="noConversion"/>
  </si>
  <si>
    <t>한국식품안전관리인증원의 설립 및 운영에 관한 법률(법률) 제5조(정관)</t>
    <phoneticPr fontId="2" type="noConversion"/>
  </si>
  <si>
    <t>한국식품안전관리인증원의 설립 및 운영에 관한 법률(법률) 제3조(설립등기)</t>
    <phoneticPr fontId="2" type="noConversion"/>
  </si>
  <si>
    <t>한국식품안전관리인증원의 설립 및 운영에 관한 법률 시행령(대통령령) 제2조(설립등기)</t>
    <phoneticPr fontId="2" type="noConversion"/>
  </si>
  <si>
    <t>한국식품안전관리인증원의 설립 및 운영에 관한 법률(법률) 제4조(사무소)</t>
    <phoneticPr fontId="2" type="noConversion"/>
  </si>
  <si>
    <t>한국식품안전관리인증원의 설립 및 운영에 관한 법률(법률) 제8조(이사회)</t>
    <phoneticPr fontId="2" type="noConversion"/>
  </si>
  <si>
    <t>한국식품안전관리인증원의 설립 및 운영에 관한 법률(법률) 제19조(벌칙)</t>
    <phoneticPr fontId="2" type="noConversion"/>
  </si>
  <si>
    <t>한국식품안전관리인증원의 설립 및 운영에 관한 법률(법률) 제7조(임원)</t>
    <phoneticPr fontId="2" type="noConversion"/>
  </si>
  <si>
    <t>한국식품안전관리인증원의 설립 및 운영에 관한 법률(법률) 제10조(운영 재원)</t>
    <phoneticPr fontId="2" type="noConversion"/>
  </si>
  <si>
    <t>한국식품안전관리인증원의 설립 및 운영에 관한 법률(법률) 제11조(보조금)</t>
    <phoneticPr fontId="2" type="noConversion"/>
  </si>
  <si>
    <t>한국식품안전관리인증원의 설립 및 운영에 관한 법률(법률) 제15조(비밀엄수의 의무)</t>
    <phoneticPr fontId="2" type="noConversion"/>
  </si>
  <si>
    <t>한국식품안전관리인증원의 설립 및 운영에 관한 법률(법률) 제18조(벌칙 적용에서 공무원 의제)</t>
    <phoneticPr fontId="2" type="noConversion"/>
  </si>
  <si>
    <t>한국식품안전관리인증원의 설립 및 운영에 관한 법률(법률) 제9조(직원의 임면)</t>
    <phoneticPr fontId="2" type="noConversion"/>
  </si>
  <si>
    <t>한국식품안전관리인증원의 설립 및 운영에 관한 법률(법률) 제20조(과태료)</t>
    <phoneticPr fontId="2" type="noConversion"/>
  </si>
  <si>
    <t>한국식품안전관리인증원의 설립 및 운영에 관한 법률(법률) 제17조(동일 명칭의 사용 금지)</t>
    <phoneticPr fontId="2" type="noConversion"/>
  </si>
  <si>
    <t>먹는물관리법(법률) 제27조</t>
    <phoneticPr fontId="2" type="noConversion"/>
  </si>
  <si>
    <t>먹는물관리법(법률) 제28조</t>
    <phoneticPr fontId="2" type="noConversion"/>
  </si>
  <si>
    <t>사료관리법 시행규칙 제20조제1항</t>
    <phoneticPr fontId="2" type="noConversion"/>
  </si>
  <si>
    <t>사료관리법 시행규칙(농림축산식품부령) 제23조</t>
    <phoneticPr fontId="2" type="noConversion"/>
  </si>
  <si>
    <t>사료관리법 시행규칙(농림축산식품부령) 제7조</t>
    <phoneticPr fontId="2" type="noConversion"/>
  </si>
  <si>
    <t xml:space="preserve">건강기능식품에 관한 법률(법률) 제10조 </t>
    <phoneticPr fontId="2" type="noConversion"/>
  </si>
  <si>
    <t>건강기능식품에 관한 법률(법률) 제12조의3</t>
    <phoneticPr fontId="2" type="noConversion"/>
  </si>
  <si>
    <t>식품ㆍ의약품분야 시험ㆍ검사 등에 관한 법률(법률) 제13조(우수시험검사기관의 지정)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</si>
</sst>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&quot;월&quot;\ dd&quot;일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indexed="64"/>
      </bottom>
      <diagonal/>
    </border>
    <border>
      <left style="medium">
        <color theme="4"/>
      </left>
      <right style="medium">
        <color theme="4"/>
      </right>
      <top style="medium">
        <color indexed="64"/>
      </top>
      <bottom/>
      <diagonal/>
    </border>
    <border>
      <left/>
      <right style="medium">
        <color theme="4"/>
      </right>
      <top/>
      <bottom/>
      <diagonal/>
    </border>
  </borders>
  <cellStyleXfs count="2">
    <xf numFmtId="0" fontId="0" fillId="0" borderId="0">
      <alignment vertical="center"/>
    </xf>
    <xf numFmtId="0" fontId="1" fillId="2" borderId="1" applyNumberFormat="0" applyFont="0" applyAlignment="0" applyProtection="0">
      <alignment vertical="center"/>
    </xf>
  </cellStyleXfs>
  <cellXfs count="16">
    <xf numFmtId="0" fontId="0" fillId="0" borderId="0" xfId="0">
      <alignment vertical="center"/>
    </xf>
    <xf numFmtId="0" fontId="3" fillId="2" borderId="2" xfId="1" applyFont="1" applyBorder="1">
      <alignment vertical="center"/>
    </xf>
    <xf numFmtId="0" fontId="0" fillId="3" borderId="0" xfId="0" applyFill="1">
      <alignment vertical="center"/>
    </xf>
    <xf numFmtId="0" fontId="0" fillId="2" borderId="2" xfId="1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5" fillId="0" borderId="0" xfId="0" applyFont="1" applyFill="1" applyBorder="1">
      <alignment vertical="center"/>
    </xf>
    <xf numFmtId="0" fontId="4" fillId="0" borderId="3" xfId="0" applyFont="1" applyBorder="1" applyAlignment="1">
      <alignment vertical="center" wrapText="1"/>
    </xf>
    <xf numFmtId="0" fontId="4" fillId="0" borderId="6" xfId="0" applyFont="1" applyFill="1" applyBorder="1">
      <alignment vertical="center"/>
    </xf>
    <xf numFmtId="176" fontId="0" fillId="0" borderId="0" xfId="0" applyNumberFormat="1">
      <alignment vertical="center"/>
    </xf>
    <xf numFmtId="0" fontId="6" fillId="3" borderId="3" xfId="0" applyFont="1" applyFill="1" applyBorder="1">
      <alignment vertical="center"/>
    </xf>
    <xf numFmtId="0" fontId="6" fillId="3" borderId="4" xfId="0" applyFont="1" applyFill="1" applyBorder="1">
      <alignment vertical="center"/>
    </xf>
    <xf numFmtId="0" fontId="6" fillId="3" borderId="5" xfId="0" applyFont="1" applyFill="1" applyBorder="1">
      <alignment vertical="center"/>
    </xf>
    <xf numFmtId="0" fontId="3" fillId="3" borderId="0" xfId="0" applyFont="1" applyFill="1">
      <alignment vertical="center"/>
    </xf>
    <xf numFmtId="0" fontId="4" fillId="0" borderId="3" xfId="0" applyFont="1" applyFill="1" applyBorder="1">
      <alignment vertical="center"/>
    </xf>
  </cellXfs>
  <cellStyles count="2">
    <cellStyle name="메모" xfId="1" builtinId="10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23BB-F7B9-48EC-AECC-DF37EFCEC86A}">
  <sheetPr codeName="Sheet1"/>
  <dimension ref="A1:K556"/>
  <sheetViews>
    <sheetView tabSelected="1" topLeftCell="C398" zoomScale="40" zoomScaleNormal="40" workbookViewId="0">
      <selection activeCell="D419" sqref="D419"/>
    </sheetView>
  </sheetViews>
  <sheetFormatPr defaultRowHeight="16.5" x14ac:dyDescent="0.3"/>
  <cols>
    <col min="1" max="1" width="53.25" bestFit="1" customWidth="1"/>
    <col min="2" max="2" width="170.75" bestFit="1" customWidth="1"/>
    <col min="3" max="3" width="84.5" bestFit="1" customWidth="1"/>
    <col min="4" max="4" width="84.5" customWidth="1"/>
    <col min="5" max="5" width="111.625" bestFit="1" customWidth="1"/>
    <col min="6" max="8" width="98" bestFit="1" customWidth="1"/>
    <col min="9" max="9" width="98" customWidth="1"/>
    <col min="10" max="10" width="122" bestFit="1" customWidth="1"/>
  </cols>
  <sheetData>
    <row r="1" spans="1:10" ht="17.25" thickBot="1" x14ac:dyDescent="0.35">
      <c r="B1" s="3" t="s">
        <v>0</v>
      </c>
      <c r="C1" s="3" t="s">
        <v>17</v>
      </c>
      <c r="D1" s="3"/>
      <c r="E1" s="1" t="s">
        <v>1</v>
      </c>
      <c r="F1" s="1" t="s">
        <v>2</v>
      </c>
      <c r="G1" s="1" t="s">
        <v>3</v>
      </c>
      <c r="H1" s="1" t="s">
        <v>4</v>
      </c>
      <c r="I1" s="1" t="s">
        <v>5</v>
      </c>
    </row>
    <row r="2" spans="1:10" ht="17.25" thickBot="1" x14ac:dyDescent="0.35">
      <c r="A2" s="2" t="s">
        <v>108</v>
      </c>
      <c r="B2" s="6" t="s">
        <v>91</v>
      </c>
      <c r="C2" s="6" t="s">
        <v>118</v>
      </c>
      <c r="D2" s="6" t="s">
        <v>300</v>
      </c>
      <c r="E2" s="6" t="s">
        <v>577</v>
      </c>
      <c r="F2" s="6" t="b">
        <f>NOT(ISBLANK(D2))</f>
        <v>1</v>
      </c>
      <c r="G2" s="6">
        <f>IF(F2=TRUE, 1, 0)</f>
        <v>1</v>
      </c>
      <c r="H2" s="6" t="b">
        <f>hascolor(E2,$E$6)</f>
        <v>0</v>
      </c>
      <c r="I2" s="6">
        <f>IF(H2, 1, 0)</f>
        <v>0</v>
      </c>
    </row>
    <row r="3" spans="1:10" ht="17.25" thickBot="1" x14ac:dyDescent="0.35">
      <c r="B3" s="4"/>
      <c r="C3" s="4" t="s">
        <v>119</v>
      </c>
      <c r="D3" s="4" t="s">
        <v>440</v>
      </c>
      <c r="E3" s="4" t="s">
        <v>578</v>
      </c>
      <c r="F3" s="6" t="b">
        <f t="shared" ref="F3:F66" si="0">NOT(ISBLANK(D3))</f>
        <v>1</v>
      </c>
      <c r="G3" s="6">
        <f t="shared" ref="G3:G66" si="1">IF(F3=TRUE, 1, 0)</f>
        <v>1</v>
      </c>
      <c r="H3" s="6" t="b">
        <f t="shared" ref="H3:H66" si="2">hascolor(E3,$E$6)</f>
        <v>0</v>
      </c>
      <c r="I3" s="6">
        <f t="shared" ref="I3:I66" si="3">IF(H3, 1, 0)</f>
        <v>0</v>
      </c>
    </row>
    <row r="4" spans="1:10" ht="17.25" thickBot="1" x14ac:dyDescent="0.35">
      <c r="B4" s="4"/>
      <c r="D4" s="4" t="s">
        <v>565</v>
      </c>
      <c r="E4" s="14" t="s">
        <v>579</v>
      </c>
      <c r="F4" s="6" t="b">
        <f t="shared" si="0"/>
        <v>1</v>
      </c>
      <c r="G4" s="6">
        <f t="shared" si="1"/>
        <v>1</v>
      </c>
      <c r="H4" s="6" t="b">
        <f t="shared" si="2"/>
        <v>1</v>
      </c>
      <c r="I4" s="6">
        <f t="shared" si="3"/>
        <v>1</v>
      </c>
    </row>
    <row r="5" spans="1:10" ht="17.25" thickBot="1" x14ac:dyDescent="0.35">
      <c r="B5" s="4"/>
      <c r="C5" s="4"/>
      <c r="D5" s="4" t="s">
        <v>569</v>
      </c>
      <c r="E5" s="11" t="s">
        <v>580</v>
      </c>
      <c r="F5" s="6" t="b">
        <f t="shared" si="0"/>
        <v>1</v>
      </c>
      <c r="G5" s="6">
        <f t="shared" si="1"/>
        <v>1</v>
      </c>
      <c r="H5" s="6" t="b">
        <f t="shared" si="2"/>
        <v>1</v>
      </c>
      <c r="I5" s="6">
        <f t="shared" si="3"/>
        <v>1</v>
      </c>
    </row>
    <row r="6" spans="1:10" ht="17.25" thickBot="1" x14ac:dyDescent="0.35">
      <c r="B6" s="5"/>
      <c r="C6" s="5"/>
      <c r="D6" s="4"/>
      <c r="E6" s="12" t="s">
        <v>502</v>
      </c>
      <c r="F6" s="6" t="b">
        <f t="shared" si="0"/>
        <v>0</v>
      </c>
      <c r="G6" s="6">
        <f t="shared" si="1"/>
        <v>0</v>
      </c>
      <c r="H6" s="6" t="b">
        <f t="shared" si="2"/>
        <v>1</v>
      </c>
      <c r="I6" s="6">
        <f t="shared" si="3"/>
        <v>1</v>
      </c>
      <c r="J6">
        <f>IF(hascolor(E2:E6,$E$6)=TRUE, 1, 0)</f>
        <v>1</v>
      </c>
    </row>
    <row r="7" spans="1:10" ht="17.25" thickBot="1" x14ac:dyDescent="0.35">
      <c r="B7" s="6" t="s">
        <v>92</v>
      </c>
      <c r="C7" s="6" t="s">
        <v>120</v>
      </c>
      <c r="D7" s="6" t="s">
        <v>441</v>
      </c>
      <c r="E7" s="13" t="s">
        <v>581</v>
      </c>
      <c r="F7" s="6" t="b">
        <f t="shared" si="0"/>
        <v>1</v>
      </c>
      <c r="G7" s="6">
        <f t="shared" si="1"/>
        <v>1</v>
      </c>
      <c r="H7" s="6" t="b">
        <f t="shared" si="2"/>
        <v>1</v>
      </c>
      <c r="I7" s="6">
        <f t="shared" si="3"/>
        <v>1</v>
      </c>
    </row>
    <row r="8" spans="1:10" ht="17.25" thickBot="1" x14ac:dyDescent="0.35">
      <c r="B8" s="4"/>
      <c r="C8" s="4" t="s">
        <v>121</v>
      </c>
      <c r="D8" s="4" t="s">
        <v>442</v>
      </c>
      <c r="E8" s="11" t="s">
        <v>582</v>
      </c>
      <c r="F8" s="6" t="b">
        <f t="shared" si="0"/>
        <v>1</v>
      </c>
      <c r="G8" s="6">
        <f t="shared" si="1"/>
        <v>1</v>
      </c>
      <c r="H8" s="6" t="b">
        <f t="shared" si="2"/>
        <v>1</v>
      </c>
      <c r="I8" s="6">
        <f t="shared" si="3"/>
        <v>1</v>
      </c>
    </row>
    <row r="9" spans="1:10" ht="17.25" thickBot="1" x14ac:dyDescent="0.35">
      <c r="B9" s="4"/>
      <c r="C9" s="4"/>
      <c r="D9" s="4" t="s">
        <v>566</v>
      </c>
      <c r="E9" s="14" t="s">
        <v>570</v>
      </c>
      <c r="F9" s="6" t="b">
        <f t="shared" si="0"/>
        <v>1</v>
      </c>
      <c r="G9" s="6">
        <f t="shared" si="1"/>
        <v>1</v>
      </c>
      <c r="H9" s="6" t="b">
        <f t="shared" si="2"/>
        <v>1</v>
      </c>
      <c r="I9" s="6">
        <f t="shared" si="3"/>
        <v>1</v>
      </c>
    </row>
    <row r="10" spans="1:10" ht="17.25" thickBot="1" x14ac:dyDescent="0.35">
      <c r="B10" s="4"/>
      <c r="C10" s="4"/>
      <c r="D10" s="4" t="s">
        <v>568</v>
      </c>
      <c r="E10" s="11" t="s">
        <v>583</v>
      </c>
      <c r="F10" s="6" t="b">
        <f t="shared" si="0"/>
        <v>1</v>
      </c>
      <c r="G10" s="6">
        <f t="shared" si="1"/>
        <v>1</v>
      </c>
      <c r="H10" s="6" t="b">
        <f t="shared" si="2"/>
        <v>1</v>
      </c>
      <c r="I10" s="6">
        <f t="shared" si="3"/>
        <v>1</v>
      </c>
    </row>
    <row r="11" spans="1:10" ht="17.25" thickBot="1" x14ac:dyDescent="0.35">
      <c r="B11" s="5"/>
      <c r="C11" s="5"/>
      <c r="D11" s="4"/>
      <c r="E11" s="5" t="s">
        <v>504</v>
      </c>
      <c r="F11" s="6" t="b">
        <f t="shared" si="0"/>
        <v>0</v>
      </c>
      <c r="G11" s="6">
        <f t="shared" si="1"/>
        <v>0</v>
      </c>
      <c r="H11" s="6" t="b">
        <f t="shared" si="2"/>
        <v>0</v>
      </c>
      <c r="I11" s="6">
        <f t="shared" si="3"/>
        <v>0</v>
      </c>
      <c r="J11">
        <f t="shared" ref="J11" si="4">IF(hascolor(E7:E11,$E$6)=TRUE, 1, 0)</f>
        <v>1</v>
      </c>
    </row>
    <row r="12" spans="1:10" ht="17.25" thickBot="1" x14ac:dyDescent="0.35">
      <c r="B12" s="6" t="s">
        <v>93</v>
      </c>
      <c r="C12" s="6" t="s">
        <v>122</v>
      </c>
      <c r="D12" s="6" t="s">
        <v>300</v>
      </c>
      <c r="E12" s="13" t="s">
        <v>584</v>
      </c>
      <c r="F12" s="6" t="b">
        <f t="shared" si="0"/>
        <v>1</v>
      </c>
      <c r="G12" s="6">
        <f t="shared" si="1"/>
        <v>1</v>
      </c>
      <c r="H12" s="6" t="b">
        <f t="shared" si="2"/>
        <v>1</v>
      </c>
      <c r="I12" s="6">
        <f t="shared" si="3"/>
        <v>1</v>
      </c>
    </row>
    <row r="13" spans="1:10" ht="17.25" thickBot="1" x14ac:dyDescent="0.35">
      <c r="B13" s="4"/>
      <c r="C13" s="4" t="s">
        <v>123</v>
      </c>
      <c r="D13" s="4" t="s">
        <v>439</v>
      </c>
      <c r="E13" s="11" t="s">
        <v>585</v>
      </c>
      <c r="F13" s="6" t="b">
        <f t="shared" si="0"/>
        <v>1</v>
      </c>
      <c r="G13" s="6">
        <f t="shared" si="1"/>
        <v>1</v>
      </c>
      <c r="H13" s="6" t="b">
        <f t="shared" si="2"/>
        <v>1</v>
      </c>
      <c r="I13" s="6">
        <f t="shared" si="3"/>
        <v>1</v>
      </c>
    </row>
    <row r="14" spans="1:10" ht="17.25" thickBot="1" x14ac:dyDescent="0.35">
      <c r="B14" s="4"/>
      <c r="C14" s="4"/>
      <c r="D14" s="4" t="s">
        <v>571</v>
      </c>
      <c r="E14" s="14" t="s">
        <v>586</v>
      </c>
      <c r="F14" s="6" t="b">
        <f t="shared" si="0"/>
        <v>1</v>
      </c>
      <c r="G14" s="6">
        <f t="shared" si="1"/>
        <v>1</v>
      </c>
      <c r="H14" s="6" t="b">
        <f t="shared" si="2"/>
        <v>1</v>
      </c>
      <c r="I14" s="6">
        <f t="shared" si="3"/>
        <v>1</v>
      </c>
    </row>
    <row r="15" spans="1:10" ht="17.25" thickBot="1" x14ac:dyDescent="0.35">
      <c r="B15" s="4"/>
      <c r="C15" s="4"/>
      <c r="D15" s="4"/>
      <c r="E15" s="4" t="s">
        <v>587</v>
      </c>
      <c r="F15" s="6" t="b">
        <f t="shared" si="0"/>
        <v>0</v>
      </c>
      <c r="G15" s="6">
        <f t="shared" si="1"/>
        <v>0</v>
      </c>
      <c r="H15" s="6" t="b">
        <f t="shared" si="2"/>
        <v>0</v>
      </c>
      <c r="I15" s="6">
        <f t="shared" si="3"/>
        <v>0</v>
      </c>
    </row>
    <row r="16" spans="1:10" ht="17.25" thickBot="1" x14ac:dyDescent="0.35">
      <c r="B16" s="5"/>
      <c r="C16" s="5"/>
      <c r="D16" s="5"/>
      <c r="E16" s="5" t="s">
        <v>507</v>
      </c>
      <c r="F16" s="6" t="b">
        <f t="shared" si="0"/>
        <v>0</v>
      </c>
      <c r="G16" s="6">
        <f t="shared" si="1"/>
        <v>0</v>
      </c>
      <c r="H16" s="6" t="b">
        <f t="shared" si="2"/>
        <v>0</v>
      </c>
      <c r="I16" s="6">
        <f t="shared" si="3"/>
        <v>0</v>
      </c>
      <c r="J16">
        <f t="shared" ref="J16" si="5">IF(hascolor(E12:E16,$E$6)=TRUE, 1, 0)</f>
        <v>1</v>
      </c>
    </row>
    <row r="17" spans="2:10" ht="17.25" thickBot="1" x14ac:dyDescent="0.35">
      <c r="B17" s="6" t="s">
        <v>94</v>
      </c>
      <c r="C17" s="6" t="s">
        <v>124</v>
      </c>
      <c r="D17" s="6" t="s">
        <v>301</v>
      </c>
      <c r="E17" s="13" t="s">
        <v>588</v>
      </c>
      <c r="F17" s="6" t="b">
        <f t="shared" si="0"/>
        <v>1</v>
      </c>
      <c r="G17" s="6">
        <f t="shared" si="1"/>
        <v>1</v>
      </c>
      <c r="H17" s="6" t="b">
        <f t="shared" si="2"/>
        <v>1</v>
      </c>
      <c r="I17" s="6">
        <f t="shared" si="3"/>
        <v>1</v>
      </c>
    </row>
    <row r="18" spans="2:10" ht="17.25" thickBot="1" x14ac:dyDescent="0.35">
      <c r="B18" s="4"/>
      <c r="C18" s="4" t="s">
        <v>125</v>
      </c>
      <c r="D18" s="4" t="s">
        <v>125</v>
      </c>
      <c r="E18" s="11" t="s">
        <v>589</v>
      </c>
      <c r="F18" s="6" t="b">
        <f t="shared" si="0"/>
        <v>1</v>
      </c>
      <c r="G18" s="6">
        <f t="shared" si="1"/>
        <v>1</v>
      </c>
      <c r="H18" s="6" t="b">
        <f t="shared" si="2"/>
        <v>1</v>
      </c>
      <c r="I18" s="6">
        <f t="shared" si="3"/>
        <v>1</v>
      </c>
    </row>
    <row r="19" spans="2:10" ht="17.25" thickBot="1" x14ac:dyDescent="0.35">
      <c r="B19" s="4"/>
      <c r="C19" s="4"/>
      <c r="D19" s="4" t="s">
        <v>572</v>
      </c>
      <c r="E19" s="14" t="s">
        <v>590</v>
      </c>
      <c r="F19" s="6" t="b">
        <f t="shared" si="0"/>
        <v>1</v>
      </c>
      <c r="G19" s="6">
        <f t="shared" si="1"/>
        <v>1</v>
      </c>
      <c r="H19" s="6" t="b">
        <f t="shared" si="2"/>
        <v>1</v>
      </c>
      <c r="I19" s="6">
        <f t="shared" si="3"/>
        <v>1</v>
      </c>
    </row>
    <row r="20" spans="2:10" ht="17.25" thickBot="1" x14ac:dyDescent="0.35">
      <c r="B20" s="4"/>
      <c r="C20" s="4"/>
      <c r="D20" s="4" t="s">
        <v>567</v>
      </c>
      <c r="E20" s="11" t="s">
        <v>591</v>
      </c>
      <c r="F20" s="6" t="b">
        <f t="shared" si="0"/>
        <v>1</v>
      </c>
      <c r="G20" s="6">
        <f t="shared" si="1"/>
        <v>1</v>
      </c>
      <c r="H20" s="6" t="b">
        <f t="shared" si="2"/>
        <v>1</v>
      </c>
      <c r="I20" s="6">
        <f t="shared" si="3"/>
        <v>1</v>
      </c>
    </row>
    <row r="21" spans="2:10" ht="17.25" thickBot="1" x14ac:dyDescent="0.35">
      <c r="B21" s="5"/>
      <c r="C21" s="5"/>
      <c r="D21" s="5"/>
      <c r="E21" s="5" t="s">
        <v>505</v>
      </c>
      <c r="F21" s="6" t="b">
        <f t="shared" si="0"/>
        <v>0</v>
      </c>
      <c r="G21" s="6">
        <f t="shared" si="1"/>
        <v>0</v>
      </c>
      <c r="H21" s="6" t="b">
        <f t="shared" si="2"/>
        <v>0</v>
      </c>
      <c r="I21" s="6">
        <f t="shared" si="3"/>
        <v>0</v>
      </c>
      <c r="J21">
        <f t="shared" ref="J21" si="6">IF(hascolor(E17:E21,$E$6)=TRUE, 1, 0)</f>
        <v>1</v>
      </c>
    </row>
    <row r="22" spans="2:10" ht="17.25" thickBot="1" x14ac:dyDescent="0.35">
      <c r="B22" s="6" t="s">
        <v>18</v>
      </c>
      <c r="C22" s="6" t="s">
        <v>126</v>
      </c>
      <c r="D22" s="6" t="s">
        <v>126</v>
      </c>
      <c r="E22" s="13" t="s">
        <v>592</v>
      </c>
      <c r="F22" s="6" t="b">
        <f t="shared" si="0"/>
        <v>1</v>
      </c>
      <c r="G22" s="6">
        <f t="shared" si="1"/>
        <v>1</v>
      </c>
      <c r="H22" s="6" t="b">
        <f t="shared" si="2"/>
        <v>1</v>
      </c>
      <c r="I22" s="6">
        <f t="shared" si="3"/>
        <v>1</v>
      </c>
    </row>
    <row r="23" spans="2:10" ht="17.25" thickBot="1" x14ac:dyDescent="0.35">
      <c r="B23" s="4"/>
      <c r="C23" s="4" t="s">
        <v>127</v>
      </c>
      <c r="D23" s="4" t="s">
        <v>438</v>
      </c>
      <c r="E23" s="11" t="s">
        <v>593</v>
      </c>
      <c r="F23" s="6" t="b">
        <f t="shared" si="0"/>
        <v>1</v>
      </c>
      <c r="G23" s="6">
        <f t="shared" si="1"/>
        <v>1</v>
      </c>
      <c r="H23" s="6" t="b">
        <f t="shared" si="2"/>
        <v>1</v>
      </c>
      <c r="I23" s="6">
        <f t="shared" si="3"/>
        <v>1</v>
      </c>
    </row>
    <row r="24" spans="2:10" ht="17.25" thickBot="1" x14ac:dyDescent="0.35">
      <c r="B24" s="4"/>
      <c r="C24" s="4"/>
      <c r="D24" s="4"/>
      <c r="E24" t="s">
        <v>585</v>
      </c>
      <c r="F24" s="6" t="b">
        <f t="shared" si="0"/>
        <v>0</v>
      </c>
      <c r="G24" s="6">
        <f t="shared" si="1"/>
        <v>0</v>
      </c>
      <c r="H24" s="6" t="b">
        <f t="shared" si="2"/>
        <v>0</v>
      </c>
      <c r="I24" s="6">
        <f t="shared" si="3"/>
        <v>0</v>
      </c>
    </row>
    <row r="25" spans="2:10" ht="17.25" thickBot="1" x14ac:dyDescent="0.35">
      <c r="B25" s="4" t="s">
        <v>470</v>
      </c>
      <c r="C25" s="4"/>
      <c r="D25" s="4"/>
      <c r="E25" s="4" t="s">
        <v>587</v>
      </c>
      <c r="F25" s="6" t="b">
        <f t="shared" si="0"/>
        <v>0</v>
      </c>
      <c r="G25" s="6">
        <f t="shared" si="1"/>
        <v>0</v>
      </c>
      <c r="H25" s="6" t="b">
        <f t="shared" si="2"/>
        <v>0</v>
      </c>
      <c r="I25" s="6">
        <f t="shared" si="3"/>
        <v>0</v>
      </c>
    </row>
    <row r="26" spans="2:10" ht="17.25" thickBot="1" x14ac:dyDescent="0.35">
      <c r="B26" s="5"/>
      <c r="C26" s="5"/>
      <c r="D26" s="5"/>
      <c r="E26" s="5" t="s">
        <v>506</v>
      </c>
      <c r="F26" s="6" t="b">
        <f t="shared" si="0"/>
        <v>0</v>
      </c>
      <c r="G26" s="6">
        <f t="shared" si="1"/>
        <v>0</v>
      </c>
      <c r="H26" s="6" t="b">
        <f t="shared" si="2"/>
        <v>0</v>
      </c>
      <c r="I26" s="6">
        <f t="shared" si="3"/>
        <v>0</v>
      </c>
      <c r="J26">
        <f t="shared" ref="J26" si="7">IF(hascolor(E22:E26,$E$6)=TRUE, 1, 0)</f>
        <v>1</v>
      </c>
    </row>
    <row r="27" spans="2:10" ht="17.25" thickBot="1" x14ac:dyDescent="0.35">
      <c r="B27" s="6" t="s">
        <v>19</v>
      </c>
      <c r="C27" s="6" t="s">
        <v>128</v>
      </c>
      <c r="D27" s="6" t="s">
        <v>128</v>
      </c>
      <c r="E27" s="13" t="s">
        <v>594</v>
      </c>
      <c r="F27" s="6" t="b">
        <f t="shared" si="0"/>
        <v>1</v>
      </c>
      <c r="G27" s="6">
        <f t="shared" si="1"/>
        <v>1</v>
      </c>
      <c r="H27" s="6" t="b">
        <f t="shared" si="2"/>
        <v>1</v>
      </c>
      <c r="I27" s="6">
        <f t="shared" si="3"/>
        <v>1</v>
      </c>
    </row>
    <row r="28" spans="2:10" ht="17.25" thickBot="1" x14ac:dyDescent="0.35">
      <c r="B28" s="4"/>
      <c r="C28" s="4" t="s">
        <v>129</v>
      </c>
      <c r="D28" s="4" t="s">
        <v>437</v>
      </c>
      <c r="E28" s="11" t="s">
        <v>595</v>
      </c>
      <c r="F28" s="6" t="b">
        <f t="shared" si="0"/>
        <v>1</v>
      </c>
      <c r="G28" s="6">
        <f t="shared" si="1"/>
        <v>1</v>
      </c>
      <c r="H28" s="6" t="b">
        <f t="shared" si="2"/>
        <v>1</v>
      </c>
      <c r="I28" s="6">
        <f t="shared" si="3"/>
        <v>1</v>
      </c>
    </row>
    <row r="29" spans="2:10" ht="17.25" thickBot="1" x14ac:dyDescent="0.35">
      <c r="B29" s="4"/>
      <c r="C29" s="4"/>
      <c r="D29" s="4"/>
      <c r="E29" t="s">
        <v>596</v>
      </c>
      <c r="F29" s="6" t="b">
        <f t="shared" si="0"/>
        <v>0</v>
      </c>
      <c r="G29" s="6">
        <f t="shared" si="1"/>
        <v>0</v>
      </c>
      <c r="H29" s="6" t="b">
        <f t="shared" si="2"/>
        <v>0</v>
      </c>
      <c r="I29" s="6">
        <f t="shared" si="3"/>
        <v>0</v>
      </c>
    </row>
    <row r="30" spans="2:10" ht="17.25" thickBot="1" x14ac:dyDescent="0.35">
      <c r="B30" s="4"/>
      <c r="C30" s="4"/>
      <c r="D30" s="4"/>
      <c r="E30" s="4" t="s">
        <v>597</v>
      </c>
      <c r="F30" s="6" t="b">
        <f t="shared" si="0"/>
        <v>0</v>
      </c>
      <c r="G30" s="6">
        <f t="shared" si="1"/>
        <v>0</v>
      </c>
      <c r="H30" s="6" t="b">
        <f t="shared" si="2"/>
        <v>0</v>
      </c>
      <c r="I30" s="6">
        <f t="shared" si="3"/>
        <v>0</v>
      </c>
    </row>
    <row r="31" spans="2:10" ht="17.25" thickBot="1" x14ac:dyDescent="0.35">
      <c r="B31" s="5"/>
      <c r="C31" s="5"/>
      <c r="D31" s="5"/>
      <c r="E31" s="5" t="s">
        <v>501</v>
      </c>
      <c r="F31" s="6" t="b">
        <f t="shared" si="0"/>
        <v>0</v>
      </c>
      <c r="G31" s="6">
        <f t="shared" si="1"/>
        <v>0</v>
      </c>
      <c r="H31" s="6" t="b">
        <f t="shared" si="2"/>
        <v>0</v>
      </c>
      <c r="I31" s="6">
        <f t="shared" si="3"/>
        <v>0</v>
      </c>
      <c r="J31">
        <f t="shared" ref="J31" si="8">IF(hascolor(E27:E31,$E$6)=TRUE, 1, 0)</f>
        <v>1</v>
      </c>
    </row>
    <row r="32" spans="2:10" ht="17.25" thickBot="1" x14ac:dyDescent="0.35">
      <c r="B32" s="6" t="s">
        <v>95</v>
      </c>
      <c r="C32" s="6" t="s">
        <v>130</v>
      </c>
      <c r="D32" s="6" t="s">
        <v>302</v>
      </c>
      <c r="E32" s="13" t="s">
        <v>598</v>
      </c>
      <c r="F32" s="6" t="b">
        <f t="shared" si="0"/>
        <v>1</v>
      </c>
      <c r="G32" s="6">
        <f t="shared" si="1"/>
        <v>1</v>
      </c>
      <c r="H32" s="6" t="b">
        <f t="shared" si="2"/>
        <v>1</v>
      </c>
      <c r="I32" s="6">
        <f t="shared" si="3"/>
        <v>1</v>
      </c>
    </row>
    <row r="33" spans="2:10" ht="17.25" thickBot="1" x14ac:dyDescent="0.35">
      <c r="B33" s="4"/>
      <c r="C33" s="4"/>
      <c r="D33" s="4" t="s">
        <v>573</v>
      </c>
      <c r="E33" s="11" t="s">
        <v>599</v>
      </c>
      <c r="F33" s="6" t="b">
        <f t="shared" si="0"/>
        <v>1</v>
      </c>
      <c r="G33" s="6">
        <f t="shared" si="1"/>
        <v>1</v>
      </c>
      <c r="H33" s="6" t="b">
        <f t="shared" si="2"/>
        <v>1</v>
      </c>
      <c r="I33" s="6">
        <f t="shared" si="3"/>
        <v>1</v>
      </c>
    </row>
    <row r="34" spans="2:10" ht="17.25" thickBot="1" x14ac:dyDescent="0.35">
      <c r="B34" s="4"/>
      <c r="C34" s="4"/>
      <c r="D34" s="4" t="s">
        <v>574</v>
      </c>
      <c r="E34" t="s">
        <v>600</v>
      </c>
      <c r="F34" s="6" t="b">
        <f t="shared" si="0"/>
        <v>1</v>
      </c>
      <c r="G34" s="6">
        <f t="shared" si="1"/>
        <v>1</v>
      </c>
      <c r="H34" s="6" t="b">
        <f t="shared" si="2"/>
        <v>0</v>
      </c>
      <c r="I34" s="6">
        <f t="shared" si="3"/>
        <v>0</v>
      </c>
    </row>
    <row r="35" spans="2:10" ht="17.25" thickBot="1" x14ac:dyDescent="0.35">
      <c r="B35" s="4"/>
      <c r="C35" s="4"/>
      <c r="D35" s="4"/>
      <c r="E35" s="11" t="s">
        <v>595</v>
      </c>
      <c r="F35" s="6" t="b">
        <f t="shared" si="0"/>
        <v>0</v>
      </c>
      <c r="G35" s="6">
        <f t="shared" si="1"/>
        <v>0</v>
      </c>
      <c r="H35" s="6" t="b">
        <f t="shared" si="2"/>
        <v>1</v>
      </c>
      <c r="I35" s="6">
        <f t="shared" si="3"/>
        <v>1</v>
      </c>
    </row>
    <row r="36" spans="2:10" ht="17.25" thickBot="1" x14ac:dyDescent="0.35">
      <c r="B36" s="5"/>
      <c r="C36" s="5"/>
      <c r="D36" s="5"/>
      <c r="E36" s="5" t="s">
        <v>501</v>
      </c>
      <c r="F36" s="6" t="b">
        <f t="shared" si="0"/>
        <v>0</v>
      </c>
      <c r="G36" s="6">
        <f t="shared" si="1"/>
        <v>0</v>
      </c>
      <c r="H36" s="6" t="b">
        <f t="shared" si="2"/>
        <v>0</v>
      </c>
      <c r="I36" s="6">
        <f t="shared" si="3"/>
        <v>0</v>
      </c>
      <c r="J36">
        <f t="shared" ref="J36" si="9">IF(hascolor(E32:E36,$E$6)=TRUE, 1, 0)</f>
        <v>1</v>
      </c>
    </row>
    <row r="37" spans="2:10" ht="17.25" thickBot="1" x14ac:dyDescent="0.35">
      <c r="B37" s="6" t="s">
        <v>20</v>
      </c>
      <c r="C37" s="6" t="s">
        <v>131</v>
      </c>
      <c r="D37" s="6" t="s">
        <v>302</v>
      </c>
      <c r="E37" s="6" t="s">
        <v>601</v>
      </c>
      <c r="F37" s="6" t="b">
        <f t="shared" si="0"/>
        <v>1</v>
      </c>
      <c r="G37" s="6">
        <f t="shared" si="1"/>
        <v>1</v>
      </c>
      <c r="H37" s="6" t="b">
        <f t="shared" si="2"/>
        <v>0</v>
      </c>
      <c r="I37" s="6">
        <f t="shared" si="3"/>
        <v>0</v>
      </c>
    </row>
    <row r="38" spans="2:10" ht="17.25" thickBot="1" x14ac:dyDescent="0.35">
      <c r="B38" s="4"/>
      <c r="C38" s="4" t="s">
        <v>132</v>
      </c>
      <c r="D38" s="4" t="s">
        <v>132</v>
      </c>
      <c r="E38" s="11" t="s">
        <v>602</v>
      </c>
      <c r="F38" s="6" t="b">
        <f t="shared" si="0"/>
        <v>1</v>
      </c>
      <c r="G38" s="6">
        <f t="shared" si="1"/>
        <v>1</v>
      </c>
      <c r="H38" s="6" t="b">
        <f t="shared" si="2"/>
        <v>1</v>
      </c>
      <c r="I38" s="6">
        <f t="shared" si="3"/>
        <v>1</v>
      </c>
    </row>
    <row r="39" spans="2:10" ht="17.25" thickBot="1" x14ac:dyDescent="0.35">
      <c r="B39" s="4"/>
      <c r="C39" s="4"/>
      <c r="D39" s="4" t="s">
        <v>575</v>
      </c>
      <c r="E39" t="s">
        <v>603</v>
      </c>
      <c r="F39" s="6" t="b">
        <f t="shared" si="0"/>
        <v>1</v>
      </c>
      <c r="G39" s="6">
        <f t="shared" si="1"/>
        <v>1</v>
      </c>
      <c r="H39" s="6" t="b">
        <f t="shared" si="2"/>
        <v>0</v>
      </c>
      <c r="I39" s="6">
        <f t="shared" si="3"/>
        <v>0</v>
      </c>
    </row>
    <row r="40" spans="2:10" ht="17.25" thickBot="1" x14ac:dyDescent="0.35">
      <c r="B40" s="4"/>
      <c r="C40" s="4"/>
      <c r="D40" s="4"/>
      <c r="E40" s="4" t="s">
        <v>581</v>
      </c>
      <c r="F40" s="6" t="b">
        <f t="shared" si="0"/>
        <v>0</v>
      </c>
      <c r="G40" s="6">
        <f t="shared" si="1"/>
        <v>0</v>
      </c>
      <c r="H40" s="6" t="b">
        <f t="shared" si="2"/>
        <v>0</v>
      </c>
      <c r="I40" s="6">
        <f t="shared" si="3"/>
        <v>0</v>
      </c>
    </row>
    <row r="41" spans="2:10" ht="17.25" thickBot="1" x14ac:dyDescent="0.35">
      <c r="B41" s="5"/>
      <c r="C41" s="5"/>
      <c r="D41" s="5"/>
      <c r="E41" s="12" t="s">
        <v>488</v>
      </c>
      <c r="F41" s="6" t="b">
        <f t="shared" si="0"/>
        <v>0</v>
      </c>
      <c r="G41" s="6">
        <f t="shared" si="1"/>
        <v>0</v>
      </c>
      <c r="H41" s="6" t="b">
        <f t="shared" si="2"/>
        <v>1</v>
      </c>
      <c r="I41" s="6">
        <f t="shared" si="3"/>
        <v>1</v>
      </c>
      <c r="J41">
        <f t="shared" ref="J41" si="10">IF(hascolor(E37:E41,$E$6)=TRUE, 1, 0)</f>
        <v>1</v>
      </c>
    </row>
    <row r="42" spans="2:10" ht="17.25" thickBot="1" x14ac:dyDescent="0.35">
      <c r="B42" s="6" t="s">
        <v>21</v>
      </c>
      <c r="C42" s="6" t="s">
        <v>133</v>
      </c>
      <c r="D42" s="6" t="s">
        <v>303</v>
      </c>
      <c r="E42" s="13" t="s">
        <v>582</v>
      </c>
      <c r="F42" s="6" t="b">
        <f t="shared" si="0"/>
        <v>1</v>
      </c>
      <c r="G42" s="6">
        <f t="shared" si="1"/>
        <v>1</v>
      </c>
      <c r="H42" s="6" t="b">
        <f t="shared" si="2"/>
        <v>1</v>
      </c>
      <c r="I42" s="6">
        <f t="shared" si="3"/>
        <v>1</v>
      </c>
    </row>
    <row r="43" spans="2:10" ht="17.25" thickBot="1" x14ac:dyDescent="0.35">
      <c r="B43" s="4"/>
      <c r="C43" s="4" t="s">
        <v>464</v>
      </c>
      <c r="D43" s="4" t="s">
        <v>576</v>
      </c>
      <c r="E43" s="11" t="s">
        <v>581</v>
      </c>
      <c r="F43" s="6" t="b">
        <f t="shared" si="0"/>
        <v>1</v>
      </c>
      <c r="G43" s="6">
        <f t="shared" si="1"/>
        <v>1</v>
      </c>
      <c r="H43" s="6" t="b">
        <f t="shared" si="2"/>
        <v>1</v>
      </c>
      <c r="I43" s="6">
        <f t="shared" si="3"/>
        <v>1</v>
      </c>
    </row>
    <row r="44" spans="2:10" ht="17.25" thickBot="1" x14ac:dyDescent="0.35">
      <c r="B44" s="4"/>
      <c r="C44" s="4"/>
      <c r="D44" s="4"/>
      <c r="E44" t="s">
        <v>604</v>
      </c>
      <c r="F44" s="6" t="b">
        <f t="shared" si="0"/>
        <v>0</v>
      </c>
      <c r="G44" s="6">
        <f t="shared" si="1"/>
        <v>0</v>
      </c>
      <c r="H44" s="6" t="b">
        <f t="shared" si="2"/>
        <v>0</v>
      </c>
      <c r="I44" s="6">
        <f t="shared" si="3"/>
        <v>0</v>
      </c>
    </row>
    <row r="45" spans="2:10" ht="17.25" thickBot="1" x14ac:dyDescent="0.35">
      <c r="B45" s="4"/>
      <c r="C45" s="4"/>
      <c r="D45" s="4"/>
      <c r="E45" s="4" t="s">
        <v>605</v>
      </c>
      <c r="F45" s="6" t="b">
        <f t="shared" si="0"/>
        <v>0</v>
      </c>
      <c r="G45" s="6">
        <f t="shared" si="1"/>
        <v>0</v>
      </c>
      <c r="H45" s="6" t="b">
        <f t="shared" si="2"/>
        <v>0</v>
      </c>
      <c r="I45" s="6">
        <f t="shared" si="3"/>
        <v>0</v>
      </c>
    </row>
    <row r="46" spans="2:10" ht="17.25" thickBot="1" x14ac:dyDescent="0.35">
      <c r="B46" s="5"/>
      <c r="C46" s="5"/>
      <c r="D46" s="5"/>
      <c r="E46" s="5" t="s">
        <v>503</v>
      </c>
      <c r="F46" s="6" t="b">
        <f t="shared" si="0"/>
        <v>0</v>
      </c>
      <c r="G46" s="6">
        <f t="shared" si="1"/>
        <v>0</v>
      </c>
      <c r="H46" s="6" t="b">
        <f t="shared" si="2"/>
        <v>0</v>
      </c>
      <c r="I46" s="6">
        <f t="shared" si="3"/>
        <v>0</v>
      </c>
      <c r="J46">
        <f t="shared" ref="J46" si="11">IF(hascolor(E42:E46,$E$6)=TRUE, 1, 0)</f>
        <v>1</v>
      </c>
    </row>
    <row r="47" spans="2:10" ht="17.25" thickBot="1" x14ac:dyDescent="0.35">
      <c r="B47" s="6" t="s">
        <v>96</v>
      </c>
      <c r="C47" s="6" t="s">
        <v>134</v>
      </c>
      <c r="D47" s="6" t="s">
        <v>304</v>
      </c>
      <c r="E47" s="13" t="s">
        <v>594</v>
      </c>
      <c r="F47" s="6" t="b">
        <f t="shared" si="0"/>
        <v>1</v>
      </c>
      <c r="G47" s="6">
        <f t="shared" si="1"/>
        <v>1</v>
      </c>
      <c r="H47" s="6" t="b">
        <f t="shared" si="2"/>
        <v>1</v>
      </c>
      <c r="I47" s="6">
        <f t="shared" si="3"/>
        <v>1</v>
      </c>
    </row>
    <row r="48" spans="2:10" ht="17.25" thickBot="1" x14ac:dyDescent="0.35">
      <c r="B48" s="4"/>
      <c r="C48" s="4" t="s">
        <v>135</v>
      </c>
      <c r="D48" s="4" t="s">
        <v>437</v>
      </c>
      <c r="E48" s="11" t="s">
        <v>595</v>
      </c>
      <c r="F48" s="6" t="b">
        <f t="shared" si="0"/>
        <v>1</v>
      </c>
      <c r="G48" s="6">
        <f t="shared" si="1"/>
        <v>1</v>
      </c>
      <c r="H48" s="6" t="b">
        <f t="shared" si="2"/>
        <v>1</v>
      </c>
      <c r="I48" s="6">
        <f t="shared" si="3"/>
        <v>1</v>
      </c>
    </row>
    <row r="49" spans="1:11" ht="17.25" thickBot="1" x14ac:dyDescent="0.35">
      <c r="B49" s="4"/>
      <c r="C49" s="4"/>
      <c r="D49" s="4"/>
      <c r="E49" t="s">
        <v>597</v>
      </c>
      <c r="F49" s="6" t="b">
        <f t="shared" si="0"/>
        <v>0</v>
      </c>
      <c r="G49" s="6">
        <f t="shared" si="1"/>
        <v>0</v>
      </c>
      <c r="H49" s="6" t="b">
        <f t="shared" si="2"/>
        <v>0</v>
      </c>
      <c r="I49" s="6">
        <f t="shared" si="3"/>
        <v>0</v>
      </c>
    </row>
    <row r="50" spans="1:11" ht="17.25" thickBot="1" x14ac:dyDescent="0.35">
      <c r="B50" s="4"/>
      <c r="C50" s="4"/>
      <c r="D50" s="4"/>
      <c r="E50" s="4" t="s">
        <v>601</v>
      </c>
      <c r="F50" s="6" t="b">
        <f t="shared" si="0"/>
        <v>0</v>
      </c>
      <c r="G50" s="6">
        <f t="shared" si="1"/>
        <v>0</v>
      </c>
      <c r="H50" s="6" t="b">
        <f t="shared" si="2"/>
        <v>0</v>
      </c>
      <c r="I50" s="6">
        <f t="shared" si="3"/>
        <v>0</v>
      </c>
    </row>
    <row r="51" spans="1:11" ht="17.25" thickBot="1" x14ac:dyDescent="0.35">
      <c r="B51" s="5"/>
      <c r="C51" s="5"/>
      <c r="D51" s="5"/>
      <c r="E51" s="5" t="s">
        <v>508</v>
      </c>
      <c r="F51" s="6" t="b">
        <f t="shared" si="0"/>
        <v>0</v>
      </c>
      <c r="G51" s="6">
        <f t="shared" si="1"/>
        <v>0</v>
      </c>
      <c r="H51" s="6" t="b">
        <f t="shared" si="2"/>
        <v>0</v>
      </c>
      <c r="I51" s="6">
        <f t="shared" si="3"/>
        <v>0</v>
      </c>
      <c r="J51">
        <f t="shared" ref="J51" si="12">IF(hascolor(E47:E51,$E$6)=TRUE, 1, 0)</f>
        <v>1</v>
      </c>
      <c r="K51">
        <f>SUM(J2:J51)</f>
        <v>10</v>
      </c>
    </row>
    <row r="52" spans="1:11" ht="17.25" thickBot="1" x14ac:dyDescent="0.35">
      <c r="A52" s="2" t="s">
        <v>109</v>
      </c>
      <c r="B52" s="6" t="s">
        <v>22</v>
      </c>
      <c r="C52" s="4" t="s">
        <v>154</v>
      </c>
      <c r="D52" s="4" t="s">
        <v>305</v>
      </c>
      <c r="E52" s="6" t="s">
        <v>606</v>
      </c>
      <c r="F52" s="6" t="b">
        <f t="shared" si="0"/>
        <v>1</v>
      </c>
      <c r="G52" s="6">
        <f t="shared" si="1"/>
        <v>1</v>
      </c>
      <c r="H52" s="6" t="b">
        <f t="shared" si="2"/>
        <v>0</v>
      </c>
      <c r="I52" s="6">
        <f t="shared" si="3"/>
        <v>0</v>
      </c>
    </row>
    <row r="53" spans="1:11" ht="17.25" thickBot="1" x14ac:dyDescent="0.35">
      <c r="B53" s="4"/>
      <c r="C53" s="4" t="s">
        <v>155</v>
      </c>
      <c r="D53" s="4" t="s">
        <v>306</v>
      </c>
      <c r="E53" s="4" t="s">
        <v>607</v>
      </c>
      <c r="F53" s="6" t="b">
        <f t="shared" si="0"/>
        <v>1</v>
      </c>
      <c r="G53" s="6">
        <f t="shared" si="1"/>
        <v>1</v>
      </c>
      <c r="H53" s="6" t="b">
        <f t="shared" si="2"/>
        <v>0</v>
      </c>
      <c r="I53" s="6">
        <f t="shared" si="3"/>
        <v>0</v>
      </c>
    </row>
    <row r="54" spans="1:11" ht="17.25" thickBot="1" x14ac:dyDescent="0.35">
      <c r="B54" s="4"/>
      <c r="C54" s="4" t="s">
        <v>156</v>
      </c>
      <c r="D54" s="4" t="s">
        <v>307</v>
      </c>
      <c r="E54" t="s">
        <v>608</v>
      </c>
      <c r="F54" s="6" t="b">
        <f t="shared" si="0"/>
        <v>1</v>
      </c>
      <c r="G54" s="6">
        <f t="shared" si="1"/>
        <v>1</v>
      </c>
      <c r="H54" s="6" t="b">
        <f t="shared" si="2"/>
        <v>0</v>
      </c>
      <c r="I54" s="6">
        <f t="shared" si="3"/>
        <v>0</v>
      </c>
    </row>
    <row r="55" spans="1:11" ht="17.25" thickBot="1" x14ac:dyDescent="0.35">
      <c r="B55" s="4"/>
      <c r="C55" s="4" t="s">
        <v>157</v>
      </c>
      <c r="E55" s="4" t="s">
        <v>609</v>
      </c>
      <c r="F55" s="6" t="b">
        <f t="shared" si="0"/>
        <v>0</v>
      </c>
      <c r="G55" s="6">
        <f t="shared" si="1"/>
        <v>0</v>
      </c>
      <c r="H55" s="6" t="b">
        <f t="shared" si="2"/>
        <v>0</v>
      </c>
      <c r="I55" s="6">
        <f t="shared" si="3"/>
        <v>0</v>
      </c>
    </row>
    <row r="56" spans="1:11" ht="17.25" thickBot="1" x14ac:dyDescent="0.35">
      <c r="B56" s="5"/>
      <c r="C56" s="4" t="s">
        <v>149</v>
      </c>
      <c r="E56" s="12" t="s">
        <v>510</v>
      </c>
      <c r="F56" s="6" t="b">
        <f t="shared" si="0"/>
        <v>0</v>
      </c>
      <c r="G56" s="6">
        <f t="shared" si="1"/>
        <v>0</v>
      </c>
      <c r="H56" s="6" t="b">
        <f t="shared" si="2"/>
        <v>1</v>
      </c>
      <c r="I56" s="6">
        <f t="shared" si="3"/>
        <v>1</v>
      </c>
      <c r="J56">
        <f t="shared" ref="J56" si="13">IF(hascolor(E52:E56,$E$6)=TRUE, 1, 0)</f>
        <v>1</v>
      </c>
    </row>
    <row r="57" spans="1:11" ht="17.25" thickBot="1" x14ac:dyDescent="0.35">
      <c r="B57" s="6" t="s">
        <v>97</v>
      </c>
      <c r="C57" s="6" t="s">
        <v>136</v>
      </c>
      <c r="D57" s="6" t="s">
        <v>307</v>
      </c>
      <c r="E57" s="6" t="s">
        <v>610</v>
      </c>
      <c r="F57" s="6" t="b">
        <f t="shared" si="0"/>
        <v>1</v>
      </c>
      <c r="G57" s="6">
        <f t="shared" si="1"/>
        <v>1</v>
      </c>
      <c r="H57" s="6" t="b">
        <f t="shared" si="2"/>
        <v>0</v>
      </c>
      <c r="I57" s="6">
        <f t="shared" si="3"/>
        <v>0</v>
      </c>
    </row>
    <row r="58" spans="1:11" ht="17.25" thickBot="1" x14ac:dyDescent="0.35">
      <c r="B58" s="4"/>
      <c r="C58" s="4" t="s">
        <v>137</v>
      </c>
      <c r="D58" s="4" t="s">
        <v>308</v>
      </c>
      <c r="E58" s="4" t="s">
        <v>611</v>
      </c>
      <c r="F58" s="6" t="b">
        <f t="shared" si="0"/>
        <v>1</v>
      </c>
      <c r="G58" s="6">
        <f t="shared" si="1"/>
        <v>1</v>
      </c>
      <c r="H58" s="6" t="b">
        <f t="shared" si="2"/>
        <v>0</v>
      </c>
      <c r="I58" s="6">
        <f t="shared" si="3"/>
        <v>0</v>
      </c>
    </row>
    <row r="59" spans="1:11" ht="17.25" thickBot="1" x14ac:dyDescent="0.35">
      <c r="B59" s="4"/>
      <c r="C59" s="4"/>
      <c r="D59" s="4"/>
      <c r="E59" t="s">
        <v>612</v>
      </c>
      <c r="F59" s="6" t="b">
        <f t="shared" si="0"/>
        <v>0</v>
      </c>
      <c r="G59" s="6">
        <f t="shared" si="1"/>
        <v>0</v>
      </c>
      <c r="H59" s="6" t="b">
        <f t="shared" si="2"/>
        <v>0</v>
      </c>
      <c r="I59" s="6">
        <f t="shared" si="3"/>
        <v>0</v>
      </c>
    </row>
    <row r="60" spans="1:11" ht="17.25" thickBot="1" x14ac:dyDescent="0.35">
      <c r="B60" s="4"/>
      <c r="C60" s="4"/>
      <c r="D60" s="4"/>
      <c r="E60" s="4" t="s">
        <v>613</v>
      </c>
      <c r="F60" s="6" t="b">
        <f t="shared" si="0"/>
        <v>0</v>
      </c>
      <c r="G60" s="6">
        <f t="shared" si="1"/>
        <v>0</v>
      </c>
      <c r="H60" s="6" t="b">
        <f t="shared" si="2"/>
        <v>0</v>
      </c>
      <c r="I60" s="6">
        <f t="shared" si="3"/>
        <v>0</v>
      </c>
    </row>
    <row r="61" spans="1:11" ht="17.25" thickBot="1" x14ac:dyDescent="0.35">
      <c r="B61" s="5"/>
      <c r="C61" s="5"/>
      <c r="D61" s="5"/>
      <c r="E61" s="5" t="s">
        <v>511</v>
      </c>
      <c r="F61" s="6" t="b">
        <f t="shared" si="0"/>
        <v>0</v>
      </c>
      <c r="G61" s="6">
        <f t="shared" si="1"/>
        <v>0</v>
      </c>
      <c r="H61" s="6" t="b">
        <f t="shared" si="2"/>
        <v>0</v>
      </c>
      <c r="I61" s="6">
        <f t="shared" si="3"/>
        <v>0</v>
      </c>
      <c r="J61">
        <f t="shared" ref="J61" si="14">IF(hascolor(E57:E61,$E$6)=TRUE, 1, 0)</f>
        <v>1</v>
      </c>
    </row>
    <row r="62" spans="1:11" ht="17.25" thickBot="1" x14ac:dyDescent="0.35">
      <c r="B62" s="6" t="s">
        <v>23</v>
      </c>
      <c r="C62" s="6" t="s">
        <v>138</v>
      </c>
      <c r="D62" s="6" t="s">
        <v>309</v>
      </c>
      <c r="E62" s="13" t="s">
        <v>614</v>
      </c>
      <c r="F62" s="6" t="b">
        <f t="shared" si="0"/>
        <v>1</v>
      </c>
      <c r="G62" s="6">
        <f t="shared" si="1"/>
        <v>1</v>
      </c>
      <c r="H62" s="6" t="b">
        <f t="shared" si="2"/>
        <v>1</v>
      </c>
      <c r="I62" s="6">
        <f t="shared" si="3"/>
        <v>1</v>
      </c>
    </row>
    <row r="63" spans="1:11" ht="17.25" thickBot="1" x14ac:dyDescent="0.35">
      <c r="B63" s="4"/>
      <c r="C63" s="4" t="s">
        <v>139</v>
      </c>
      <c r="D63" s="4" t="s">
        <v>433</v>
      </c>
      <c r="E63" s="4" t="s">
        <v>615</v>
      </c>
      <c r="F63" s="6" t="b">
        <f t="shared" si="0"/>
        <v>1</v>
      </c>
      <c r="G63" s="6">
        <f t="shared" si="1"/>
        <v>1</v>
      </c>
      <c r="H63" s="6" t="b">
        <f t="shared" si="2"/>
        <v>0</v>
      </c>
      <c r="I63" s="6">
        <f t="shared" si="3"/>
        <v>0</v>
      </c>
    </row>
    <row r="64" spans="1:11" ht="17.25" thickBot="1" x14ac:dyDescent="0.35">
      <c r="B64" s="4"/>
      <c r="C64" s="4" t="s">
        <v>140</v>
      </c>
      <c r="D64" s="4" t="s">
        <v>310</v>
      </c>
      <c r="E64" t="s">
        <v>616</v>
      </c>
      <c r="F64" s="6" t="b">
        <f t="shared" si="0"/>
        <v>1</v>
      </c>
      <c r="G64" s="6">
        <f t="shared" si="1"/>
        <v>1</v>
      </c>
      <c r="H64" s="6" t="b">
        <f t="shared" si="2"/>
        <v>0</v>
      </c>
      <c r="I64" s="6">
        <f t="shared" si="3"/>
        <v>0</v>
      </c>
    </row>
    <row r="65" spans="2:10" ht="17.25" thickBot="1" x14ac:dyDescent="0.35">
      <c r="B65" s="4"/>
      <c r="C65" s="4" t="s">
        <v>141</v>
      </c>
      <c r="D65" s="4"/>
      <c r="E65" s="4" t="s">
        <v>617</v>
      </c>
      <c r="F65" s="6" t="b">
        <f t="shared" si="0"/>
        <v>0</v>
      </c>
      <c r="G65" s="6">
        <f t="shared" si="1"/>
        <v>0</v>
      </c>
      <c r="H65" s="6" t="b">
        <f t="shared" si="2"/>
        <v>0</v>
      </c>
      <c r="I65" s="6">
        <f t="shared" si="3"/>
        <v>0</v>
      </c>
    </row>
    <row r="66" spans="2:10" ht="17.25" thickBot="1" x14ac:dyDescent="0.35">
      <c r="B66" s="5"/>
      <c r="C66" s="5"/>
      <c r="D66" s="5"/>
      <c r="E66" s="5" t="s">
        <v>465</v>
      </c>
      <c r="F66" s="6" t="b">
        <f t="shared" si="0"/>
        <v>0</v>
      </c>
      <c r="G66" s="6">
        <f t="shared" si="1"/>
        <v>0</v>
      </c>
      <c r="H66" s="6" t="b">
        <f t="shared" si="2"/>
        <v>0</v>
      </c>
      <c r="I66" s="6">
        <f t="shared" si="3"/>
        <v>0</v>
      </c>
      <c r="J66">
        <f t="shared" ref="J66" si="15">IF(hascolor(E62:E66,$E$6)=TRUE, 1, 0)</f>
        <v>1</v>
      </c>
    </row>
    <row r="67" spans="2:10" ht="17.25" thickBot="1" x14ac:dyDescent="0.35">
      <c r="B67" s="6" t="s">
        <v>24</v>
      </c>
      <c r="C67" s="6" t="s">
        <v>142</v>
      </c>
      <c r="D67" s="6" t="s">
        <v>311</v>
      </c>
      <c r="E67" s="13" t="s">
        <v>618</v>
      </c>
      <c r="F67" s="6" t="b">
        <f t="shared" ref="F67:F130" si="16">NOT(ISBLANK(D67))</f>
        <v>1</v>
      </c>
      <c r="G67" s="6">
        <f t="shared" ref="G67:G130" si="17">IF(F67=TRUE, 1, 0)</f>
        <v>1</v>
      </c>
      <c r="H67" s="6" t="b">
        <f t="shared" ref="H67:H130" si="18">hascolor(E67,$E$6)</f>
        <v>1</v>
      </c>
      <c r="I67" s="6">
        <f t="shared" ref="I67:I130" si="19">IF(H67, 1, 0)</f>
        <v>1</v>
      </c>
    </row>
    <row r="68" spans="2:10" ht="17.25" thickBot="1" x14ac:dyDescent="0.35">
      <c r="B68" s="4"/>
      <c r="C68" s="4" t="s">
        <v>143</v>
      </c>
      <c r="D68" s="4" t="s">
        <v>434</v>
      </c>
      <c r="E68" s="11" t="s">
        <v>619</v>
      </c>
      <c r="F68" s="6" t="b">
        <f t="shared" si="16"/>
        <v>1</v>
      </c>
      <c r="G68" s="6">
        <f t="shared" si="17"/>
        <v>1</v>
      </c>
      <c r="H68" s="6" t="b">
        <f t="shared" si="18"/>
        <v>1</v>
      </c>
      <c r="I68" s="6">
        <f t="shared" si="19"/>
        <v>1</v>
      </c>
    </row>
    <row r="69" spans="2:10" ht="17.25" thickBot="1" x14ac:dyDescent="0.35">
      <c r="B69" s="4"/>
      <c r="C69" s="4"/>
      <c r="D69" s="4" t="s">
        <v>564</v>
      </c>
      <c r="E69" t="s">
        <v>620</v>
      </c>
      <c r="F69" s="6" t="b">
        <f t="shared" si="16"/>
        <v>1</v>
      </c>
      <c r="G69" s="6">
        <f t="shared" si="17"/>
        <v>1</v>
      </c>
      <c r="H69" s="6" t="b">
        <f t="shared" si="18"/>
        <v>0</v>
      </c>
      <c r="I69" s="6">
        <f t="shared" si="19"/>
        <v>0</v>
      </c>
    </row>
    <row r="70" spans="2:10" ht="17.25" thickBot="1" x14ac:dyDescent="0.35">
      <c r="B70" s="4"/>
      <c r="C70" s="4"/>
      <c r="D70" s="4"/>
      <c r="E70" s="4" t="s">
        <v>621</v>
      </c>
      <c r="F70" s="6" t="b">
        <f t="shared" si="16"/>
        <v>0</v>
      </c>
      <c r="G70" s="6">
        <f t="shared" si="17"/>
        <v>0</v>
      </c>
      <c r="H70" s="6" t="b">
        <f t="shared" si="18"/>
        <v>0</v>
      </c>
      <c r="I70" s="6">
        <f t="shared" si="19"/>
        <v>0</v>
      </c>
    </row>
    <row r="71" spans="2:10" ht="17.25" thickBot="1" x14ac:dyDescent="0.35">
      <c r="B71" s="5"/>
      <c r="C71" s="5"/>
      <c r="D71" s="5"/>
      <c r="E71" s="5" t="s">
        <v>513</v>
      </c>
      <c r="F71" s="6" t="b">
        <f t="shared" si="16"/>
        <v>0</v>
      </c>
      <c r="G71" s="6">
        <f t="shared" si="17"/>
        <v>0</v>
      </c>
      <c r="H71" s="6" t="b">
        <f t="shared" si="18"/>
        <v>0</v>
      </c>
      <c r="I71" s="6">
        <f t="shared" si="19"/>
        <v>0</v>
      </c>
      <c r="J71">
        <f t="shared" ref="J71" si="20">IF(hascolor(E67:E71,$E$6)=TRUE, 1, 0)</f>
        <v>1</v>
      </c>
    </row>
    <row r="72" spans="2:10" ht="17.25" thickBot="1" x14ac:dyDescent="0.35">
      <c r="B72" s="6" t="s">
        <v>25</v>
      </c>
      <c r="C72" s="6" t="s">
        <v>144</v>
      </c>
      <c r="D72" s="6" t="s">
        <v>312</v>
      </c>
      <c r="E72" s="13" t="s">
        <v>622</v>
      </c>
      <c r="F72" s="6" t="b">
        <f t="shared" si="16"/>
        <v>1</v>
      </c>
      <c r="G72" s="6">
        <f t="shared" si="17"/>
        <v>1</v>
      </c>
      <c r="H72" s="6" t="b">
        <f t="shared" si="18"/>
        <v>1</v>
      </c>
      <c r="I72" s="6">
        <f t="shared" si="19"/>
        <v>1</v>
      </c>
    </row>
    <row r="73" spans="2:10" ht="17.25" thickBot="1" x14ac:dyDescent="0.35">
      <c r="B73" s="4"/>
      <c r="C73" s="4" t="s">
        <v>145</v>
      </c>
      <c r="D73" s="4" t="s">
        <v>435</v>
      </c>
      <c r="E73" s="4" t="s">
        <v>623</v>
      </c>
      <c r="F73" s="6" t="b">
        <f t="shared" si="16"/>
        <v>1</v>
      </c>
      <c r="G73" s="6">
        <f t="shared" si="17"/>
        <v>1</v>
      </c>
      <c r="H73" s="6" t="b">
        <f t="shared" si="18"/>
        <v>0</v>
      </c>
      <c r="I73" s="6">
        <f t="shared" si="19"/>
        <v>0</v>
      </c>
    </row>
    <row r="74" spans="2:10" ht="17.25" thickBot="1" x14ac:dyDescent="0.35">
      <c r="B74" s="4"/>
      <c r="C74" s="4" t="s">
        <v>146</v>
      </c>
      <c r="E74" s="14" t="s">
        <v>624</v>
      </c>
      <c r="F74" s="6" t="b">
        <f t="shared" si="16"/>
        <v>0</v>
      </c>
      <c r="G74" s="6">
        <f t="shared" si="17"/>
        <v>0</v>
      </c>
      <c r="H74" s="6" t="b">
        <f t="shared" si="18"/>
        <v>1</v>
      </c>
      <c r="I74" s="6">
        <f t="shared" si="19"/>
        <v>1</v>
      </c>
    </row>
    <row r="75" spans="2:10" ht="17.25" thickBot="1" x14ac:dyDescent="0.35">
      <c r="B75" s="4"/>
      <c r="C75" s="4"/>
      <c r="D75" s="4"/>
      <c r="E75" s="4" t="s">
        <v>625</v>
      </c>
      <c r="F75" s="6" t="b">
        <f t="shared" si="16"/>
        <v>0</v>
      </c>
      <c r="G75" s="6">
        <f t="shared" si="17"/>
        <v>0</v>
      </c>
      <c r="H75" s="6" t="b">
        <f t="shared" si="18"/>
        <v>0</v>
      </c>
      <c r="I75" s="6">
        <f t="shared" si="19"/>
        <v>0</v>
      </c>
    </row>
    <row r="76" spans="2:10" ht="17.25" thickBot="1" x14ac:dyDescent="0.35">
      <c r="B76" s="5"/>
      <c r="C76" s="5"/>
      <c r="D76" s="5"/>
      <c r="E76" s="5" t="s">
        <v>514</v>
      </c>
      <c r="F76" s="6" t="b">
        <f t="shared" si="16"/>
        <v>0</v>
      </c>
      <c r="G76" s="6">
        <f t="shared" si="17"/>
        <v>0</v>
      </c>
      <c r="H76" s="6" t="b">
        <f t="shared" si="18"/>
        <v>0</v>
      </c>
      <c r="I76" s="6">
        <f t="shared" si="19"/>
        <v>0</v>
      </c>
      <c r="J76">
        <f t="shared" ref="J76" si="21">IF(hascolor(E72:E76,$E$6)=TRUE, 1, 0)</f>
        <v>1</v>
      </c>
    </row>
    <row r="77" spans="2:10" ht="17.25" thickBot="1" x14ac:dyDescent="0.35">
      <c r="B77" s="6" t="s">
        <v>26</v>
      </c>
      <c r="C77" s="6" t="s">
        <v>142</v>
      </c>
      <c r="D77" s="6" t="s">
        <v>311</v>
      </c>
      <c r="E77" s="13" t="s">
        <v>619</v>
      </c>
      <c r="F77" s="6" t="b">
        <f t="shared" si="16"/>
        <v>1</v>
      </c>
      <c r="G77" s="6">
        <f t="shared" si="17"/>
        <v>1</v>
      </c>
      <c r="H77" s="6" t="b">
        <f t="shared" si="18"/>
        <v>1</v>
      </c>
      <c r="I77" s="6">
        <f t="shared" si="19"/>
        <v>1</v>
      </c>
    </row>
    <row r="78" spans="2:10" ht="17.25" thickBot="1" x14ac:dyDescent="0.35">
      <c r="B78" s="4"/>
      <c r="C78" s="4" t="s">
        <v>143</v>
      </c>
      <c r="D78" s="4" t="s">
        <v>434</v>
      </c>
      <c r="E78" s="11" t="s">
        <v>618</v>
      </c>
      <c r="F78" s="6" t="b">
        <f t="shared" si="16"/>
        <v>1</v>
      </c>
      <c r="G78" s="6">
        <f t="shared" si="17"/>
        <v>1</v>
      </c>
      <c r="H78" s="6" t="b">
        <f t="shared" si="18"/>
        <v>1</v>
      </c>
      <c r="I78" s="6">
        <f t="shared" si="19"/>
        <v>1</v>
      </c>
    </row>
    <row r="79" spans="2:10" ht="17.25" thickBot="1" x14ac:dyDescent="0.35">
      <c r="B79" s="4"/>
      <c r="C79" s="4"/>
      <c r="D79" s="4" t="s">
        <v>564</v>
      </c>
      <c r="E79" t="s">
        <v>626</v>
      </c>
      <c r="F79" s="6" t="b">
        <f t="shared" si="16"/>
        <v>1</v>
      </c>
      <c r="G79" s="6">
        <f t="shared" si="17"/>
        <v>1</v>
      </c>
      <c r="H79" s="6" t="b">
        <f t="shared" si="18"/>
        <v>0</v>
      </c>
      <c r="I79" s="6">
        <f t="shared" si="19"/>
        <v>0</v>
      </c>
    </row>
    <row r="80" spans="2:10" ht="17.25" thickBot="1" x14ac:dyDescent="0.35">
      <c r="B80" s="4"/>
      <c r="C80" s="4"/>
      <c r="D80" s="4"/>
      <c r="E80" s="4" t="s">
        <v>620</v>
      </c>
      <c r="F80" s="6" t="b">
        <f t="shared" si="16"/>
        <v>0</v>
      </c>
      <c r="G80" s="6">
        <f t="shared" si="17"/>
        <v>0</v>
      </c>
      <c r="H80" s="6" t="b">
        <f t="shared" si="18"/>
        <v>0</v>
      </c>
      <c r="I80" s="6">
        <f t="shared" si="19"/>
        <v>0</v>
      </c>
    </row>
    <row r="81" spans="2:10" ht="17.25" thickBot="1" x14ac:dyDescent="0.35">
      <c r="B81" s="5"/>
      <c r="C81" s="5"/>
      <c r="D81" s="5"/>
      <c r="E81" s="5" t="s">
        <v>515</v>
      </c>
      <c r="F81" s="6" t="b">
        <f t="shared" si="16"/>
        <v>0</v>
      </c>
      <c r="G81" s="6">
        <f t="shared" si="17"/>
        <v>0</v>
      </c>
      <c r="H81" s="6" t="b">
        <f t="shared" si="18"/>
        <v>0</v>
      </c>
      <c r="I81" s="6">
        <f t="shared" si="19"/>
        <v>0</v>
      </c>
      <c r="J81">
        <f t="shared" ref="J81" si="22">IF(hascolor(E77:E81,$E$6)=TRUE, 1, 0)</f>
        <v>1</v>
      </c>
    </row>
    <row r="82" spans="2:10" ht="17.25" thickBot="1" x14ac:dyDescent="0.35">
      <c r="B82" s="6" t="s">
        <v>98</v>
      </c>
      <c r="C82" s="6" t="s">
        <v>137</v>
      </c>
      <c r="D82" s="6" t="s">
        <v>308</v>
      </c>
      <c r="E82" s="13" t="s">
        <v>627</v>
      </c>
      <c r="F82" s="6" t="b">
        <f t="shared" si="16"/>
        <v>1</v>
      </c>
      <c r="G82" s="6">
        <f t="shared" si="17"/>
        <v>1</v>
      </c>
      <c r="H82" s="6" t="b">
        <f t="shared" si="18"/>
        <v>1</v>
      </c>
      <c r="I82" s="6">
        <f t="shared" si="19"/>
        <v>1</v>
      </c>
    </row>
    <row r="83" spans="2:10" ht="17.25" thickBot="1" x14ac:dyDescent="0.35">
      <c r="B83" s="4"/>
      <c r="C83" s="4" t="s">
        <v>147</v>
      </c>
      <c r="D83" s="4" t="s">
        <v>432</v>
      </c>
      <c r="E83" s="4" t="s">
        <v>628</v>
      </c>
      <c r="F83" s="6" t="b">
        <f t="shared" si="16"/>
        <v>1</v>
      </c>
      <c r="G83" s="6">
        <f t="shared" si="17"/>
        <v>1</v>
      </c>
      <c r="H83" s="6" t="b">
        <f t="shared" si="18"/>
        <v>0</v>
      </c>
      <c r="I83" s="6">
        <f t="shared" si="19"/>
        <v>0</v>
      </c>
    </row>
    <row r="84" spans="2:10" ht="17.25" thickBot="1" x14ac:dyDescent="0.35">
      <c r="B84" s="4"/>
      <c r="C84" s="4" t="s">
        <v>136</v>
      </c>
      <c r="D84" s="4" t="s">
        <v>307</v>
      </c>
      <c r="E84" s="14" t="s">
        <v>629</v>
      </c>
      <c r="F84" s="6" t="b">
        <f t="shared" si="16"/>
        <v>1</v>
      </c>
      <c r="G84" s="6">
        <f t="shared" si="17"/>
        <v>1</v>
      </c>
      <c r="H84" s="6" t="b">
        <f t="shared" si="18"/>
        <v>1</v>
      </c>
      <c r="I84" s="6">
        <f t="shared" si="19"/>
        <v>1</v>
      </c>
    </row>
    <row r="85" spans="2:10" ht="17.25" thickBot="1" x14ac:dyDescent="0.35">
      <c r="B85" s="4"/>
      <c r="C85" s="4"/>
      <c r="D85" s="4"/>
      <c r="E85" s="4" t="s">
        <v>630</v>
      </c>
      <c r="F85" s="6" t="b">
        <f t="shared" si="16"/>
        <v>0</v>
      </c>
      <c r="G85" s="6">
        <f t="shared" si="17"/>
        <v>0</v>
      </c>
      <c r="H85" s="6" t="b">
        <f t="shared" si="18"/>
        <v>0</v>
      </c>
      <c r="I85" s="6">
        <f t="shared" si="19"/>
        <v>0</v>
      </c>
    </row>
    <row r="86" spans="2:10" ht="17.25" thickBot="1" x14ac:dyDescent="0.35">
      <c r="B86" s="5"/>
      <c r="C86" s="5"/>
      <c r="D86" s="5"/>
      <c r="E86" s="5" t="s">
        <v>516</v>
      </c>
      <c r="F86" s="6" t="b">
        <f t="shared" si="16"/>
        <v>0</v>
      </c>
      <c r="G86" s="6">
        <f t="shared" si="17"/>
        <v>0</v>
      </c>
      <c r="H86" s="6" t="b">
        <f t="shared" si="18"/>
        <v>0</v>
      </c>
      <c r="I86" s="6">
        <f t="shared" si="19"/>
        <v>0</v>
      </c>
      <c r="J86">
        <f t="shared" ref="J86" si="23">IF(hascolor(E82:E86,$E$6)=TRUE, 1, 0)</f>
        <v>1</v>
      </c>
    </row>
    <row r="87" spans="2:10" ht="17.25" thickBot="1" x14ac:dyDescent="0.35">
      <c r="B87" s="6" t="s">
        <v>99</v>
      </c>
      <c r="C87" s="4" t="s">
        <v>148</v>
      </c>
      <c r="D87" s="4" t="s">
        <v>313</v>
      </c>
      <c r="E87" s="6" t="s">
        <v>608</v>
      </c>
      <c r="F87" s="6" t="b">
        <f t="shared" si="16"/>
        <v>1</v>
      </c>
      <c r="G87" s="6">
        <f t="shared" si="17"/>
        <v>1</v>
      </c>
      <c r="H87" s="6" t="b">
        <f t="shared" si="18"/>
        <v>0</v>
      </c>
      <c r="I87" s="6">
        <f t="shared" si="19"/>
        <v>0</v>
      </c>
    </row>
    <row r="88" spans="2:10" ht="17.25" thickBot="1" x14ac:dyDescent="0.35">
      <c r="B88" s="4"/>
      <c r="C88" s="4" t="s">
        <v>149</v>
      </c>
      <c r="D88" s="4" t="s">
        <v>307</v>
      </c>
      <c r="E88" s="4" t="s">
        <v>607</v>
      </c>
      <c r="F88" s="6" t="b">
        <f t="shared" si="16"/>
        <v>1</v>
      </c>
      <c r="G88" s="6">
        <f t="shared" si="17"/>
        <v>1</v>
      </c>
      <c r="H88" s="6" t="b">
        <f t="shared" si="18"/>
        <v>0</v>
      </c>
      <c r="I88" s="6">
        <f t="shared" si="19"/>
        <v>0</v>
      </c>
    </row>
    <row r="89" spans="2:10" ht="17.25" thickBot="1" x14ac:dyDescent="0.35">
      <c r="B89" s="4"/>
      <c r="E89" s="14" t="s">
        <v>631</v>
      </c>
      <c r="F89" s="6" t="b">
        <f t="shared" si="16"/>
        <v>0</v>
      </c>
      <c r="G89" s="6">
        <f t="shared" si="17"/>
        <v>0</v>
      </c>
      <c r="H89" s="6" t="b">
        <f t="shared" si="18"/>
        <v>1</v>
      </c>
      <c r="I89" s="6">
        <f t="shared" si="19"/>
        <v>1</v>
      </c>
    </row>
    <row r="90" spans="2:10" ht="17.25" thickBot="1" x14ac:dyDescent="0.35">
      <c r="B90" s="4"/>
      <c r="C90" s="4"/>
      <c r="D90" s="4"/>
      <c r="E90" s="4" t="s">
        <v>609</v>
      </c>
      <c r="F90" s="6" t="b">
        <f t="shared" si="16"/>
        <v>0</v>
      </c>
      <c r="G90" s="6">
        <f t="shared" si="17"/>
        <v>0</v>
      </c>
      <c r="H90" s="6" t="b">
        <f t="shared" si="18"/>
        <v>0</v>
      </c>
      <c r="I90" s="6">
        <f t="shared" si="19"/>
        <v>0</v>
      </c>
    </row>
    <row r="91" spans="2:10" ht="17.25" thickBot="1" x14ac:dyDescent="0.35">
      <c r="B91" s="5"/>
      <c r="C91" s="5"/>
      <c r="D91" s="5"/>
      <c r="E91" s="12" t="s">
        <v>517</v>
      </c>
      <c r="F91" s="6" t="b">
        <f t="shared" si="16"/>
        <v>0</v>
      </c>
      <c r="G91" s="6">
        <f t="shared" si="17"/>
        <v>0</v>
      </c>
      <c r="H91" s="6" t="b">
        <f t="shared" si="18"/>
        <v>1</v>
      </c>
      <c r="I91" s="6">
        <f t="shared" si="19"/>
        <v>1</v>
      </c>
      <c r="J91">
        <f t="shared" ref="J91" si="24">IF(hascolor(E87:E91,$E$6)=TRUE, 1, 0)</f>
        <v>1</v>
      </c>
    </row>
    <row r="92" spans="2:10" ht="17.25" thickBot="1" x14ac:dyDescent="0.35">
      <c r="B92" s="6" t="s">
        <v>27</v>
      </c>
      <c r="C92" s="6" t="s">
        <v>150</v>
      </c>
      <c r="D92" s="6" t="s">
        <v>314</v>
      </c>
      <c r="E92" s="13" t="s">
        <v>632</v>
      </c>
      <c r="F92" s="6" t="b">
        <f t="shared" si="16"/>
        <v>1</v>
      </c>
      <c r="G92" s="6">
        <f t="shared" si="17"/>
        <v>1</v>
      </c>
      <c r="H92" s="6" t="b">
        <f t="shared" si="18"/>
        <v>1</v>
      </c>
      <c r="I92" s="6">
        <f t="shared" si="19"/>
        <v>1</v>
      </c>
    </row>
    <row r="93" spans="2:10" ht="17.25" thickBot="1" x14ac:dyDescent="0.35">
      <c r="B93" s="4"/>
      <c r="C93" s="4" t="s">
        <v>151</v>
      </c>
      <c r="D93" s="4" t="s">
        <v>436</v>
      </c>
      <c r="E93" s="4" t="s">
        <v>609</v>
      </c>
      <c r="F93" s="6" t="b">
        <f t="shared" si="16"/>
        <v>1</v>
      </c>
      <c r="G93" s="6">
        <f t="shared" si="17"/>
        <v>1</v>
      </c>
      <c r="H93" s="6" t="b">
        <f t="shared" si="18"/>
        <v>0</v>
      </c>
      <c r="I93" s="6">
        <f t="shared" si="19"/>
        <v>0</v>
      </c>
    </row>
    <row r="94" spans="2:10" ht="17.25" thickBot="1" x14ac:dyDescent="0.35">
      <c r="B94" s="4"/>
      <c r="C94" s="4"/>
      <c r="D94" s="4"/>
      <c r="E94" t="s">
        <v>633</v>
      </c>
      <c r="F94" s="6" t="b">
        <f t="shared" si="16"/>
        <v>0</v>
      </c>
      <c r="G94" s="6">
        <f t="shared" si="17"/>
        <v>0</v>
      </c>
      <c r="H94" s="6" t="b">
        <f t="shared" si="18"/>
        <v>0</v>
      </c>
      <c r="I94" s="6">
        <f t="shared" si="19"/>
        <v>0</v>
      </c>
    </row>
    <row r="95" spans="2:10" ht="17.25" thickBot="1" x14ac:dyDescent="0.35">
      <c r="B95" s="4"/>
      <c r="C95" s="4"/>
      <c r="D95" s="4"/>
      <c r="E95" s="4" t="s">
        <v>608</v>
      </c>
      <c r="F95" s="6" t="b">
        <f t="shared" si="16"/>
        <v>0</v>
      </c>
      <c r="G95" s="6">
        <f t="shared" si="17"/>
        <v>0</v>
      </c>
      <c r="H95" s="6" t="b">
        <f t="shared" si="18"/>
        <v>0</v>
      </c>
      <c r="I95" s="6">
        <f t="shared" si="19"/>
        <v>0</v>
      </c>
    </row>
    <row r="96" spans="2:10" ht="17.25" thickBot="1" x14ac:dyDescent="0.35">
      <c r="B96" s="5"/>
      <c r="C96" s="5"/>
      <c r="D96" s="5"/>
      <c r="E96" s="5" t="s">
        <v>509</v>
      </c>
      <c r="F96" s="6" t="b">
        <f t="shared" si="16"/>
        <v>0</v>
      </c>
      <c r="G96" s="6">
        <f t="shared" si="17"/>
        <v>0</v>
      </c>
      <c r="H96" s="6" t="b">
        <f t="shared" si="18"/>
        <v>0</v>
      </c>
      <c r="I96" s="6">
        <f t="shared" si="19"/>
        <v>0</v>
      </c>
      <c r="J96">
        <f t="shared" ref="J96" si="25">IF(hascolor(E92:E96,$E$6)=TRUE, 1, 0)</f>
        <v>1</v>
      </c>
    </row>
    <row r="97" spans="1:11" ht="17.25" thickBot="1" x14ac:dyDescent="0.35">
      <c r="B97" s="6" t="s">
        <v>100</v>
      </c>
      <c r="C97" s="6" t="s">
        <v>152</v>
      </c>
      <c r="D97" s="6" t="s">
        <v>315</v>
      </c>
      <c r="E97" s="13" t="s">
        <v>629</v>
      </c>
      <c r="F97" s="6" t="b">
        <f t="shared" si="16"/>
        <v>1</v>
      </c>
      <c r="G97" s="6">
        <f t="shared" si="17"/>
        <v>1</v>
      </c>
      <c r="H97" s="6" t="b">
        <f t="shared" si="18"/>
        <v>1</v>
      </c>
      <c r="I97" s="6">
        <f t="shared" si="19"/>
        <v>1</v>
      </c>
    </row>
    <row r="98" spans="1:11" ht="17.25" thickBot="1" x14ac:dyDescent="0.35">
      <c r="B98" s="4"/>
      <c r="C98" s="4" t="s">
        <v>153</v>
      </c>
      <c r="D98" s="4" t="s">
        <v>432</v>
      </c>
      <c r="E98" s="11" t="s">
        <v>634</v>
      </c>
      <c r="F98" s="6" t="b">
        <f t="shared" si="16"/>
        <v>1</v>
      </c>
      <c r="G98" s="6">
        <f t="shared" si="17"/>
        <v>1</v>
      </c>
      <c r="H98" s="6" t="b">
        <f t="shared" si="18"/>
        <v>1</v>
      </c>
      <c r="I98" s="6">
        <f t="shared" si="19"/>
        <v>1</v>
      </c>
    </row>
    <row r="99" spans="1:11" ht="17.25" thickBot="1" x14ac:dyDescent="0.35">
      <c r="B99" s="4"/>
      <c r="C99" s="4"/>
      <c r="D99" s="4"/>
      <c r="E99" t="s">
        <v>635</v>
      </c>
      <c r="F99" s="6" t="b">
        <f t="shared" si="16"/>
        <v>0</v>
      </c>
      <c r="G99" s="6">
        <f t="shared" si="17"/>
        <v>0</v>
      </c>
      <c r="H99" s="6" t="b">
        <f t="shared" si="18"/>
        <v>0</v>
      </c>
      <c r="I99" s="6">
        <f t="shared" si="19"/>
        <v>0</v>
      </c>
    </row>
    <row r="100" spans="1:11" ht="17.25" thickBot="1" x14ac:dyDescent="0.35">
      <c r="B100" s="4"/>
      <c r="C100" s="4"/>
      <c r="D100" s="4"/>
      <c r="E100" s="4" t="s">
        <v>636</v>
      </c>
      <c r="F100" s="6" t="b">
        <f t="shared" si="16"/>
        <v>0</v>
      </c>
      <c r="G100" s="6">
        <f t="shared" si="17"/>
        <v>0</v>
      </c>
      <c r="H100" s="6" t="b">
        <f t="shared" si="18"/>
        <v>0</v>
      </c>
      <c r="I100" s="6">
        <f t="shared" si="19"/>
        <v>0</v>
      </c>
    </row>
    <row r="101" spans="1:11" ht="17.25" thickBot="1" x14ac:dyDescent="0.35">
      <c r="B101" s="5"/>
      <c r="C101" s="5"/>
      <c r="D101" s="5"/>
      <c r="E101" s="5" t="s">
        <v>512</v>
      </c>
      <c r="F101" s="6" t="b">
        <f t="shared" si="16"/>
        <v>0</v>
      </c>
      <c r="G101" s="6">
        <f t="shared" si="17"/>
        <v>0</v>
      </c>
      <c r="H101" s="6" t="b">
        <f t="shared" si="18"/>
        <v>0</v>
      </c>
      <c r="I101" s="6">
        <f t="shared" si="19"/>
        <v>0</v>
      </c>
      <c r="J101">
        <f t="shared" ref="J101" si="26">IF(hascolor(E97:E101,$E$6)=TRUE, 1, 0)</f>
        <v>1</v>
      </c>
      <c r="K101">
        <f>SUM(J52:J101)</f>
        <v>10</v>
      </c>
    </row>
    <row r="102" spans="1:11" ht="17.25" thickBot="1" x14ac:dyDescent="0.35">
      <c r="A102" s="2" t="s">
        <v>110</v>
      </c>
      <c r="B102" s="6" t="s">
        <v>28</v>
      </c>
      <c r="C102" s="6" t="s">
        <v>158</v>
      </c>
      <c r="D102" s="6" t="s">
        <v>158</v>
      </c>
      <c r="E102" s="13" t="s">
        <v>637</v>
      </c>
      <c r="F102" s="6" t="b">
        <f t="shared" si="16"/>
        <v>1</v>
      </c>
      <c r="G102" s="6">
        <f t="shared" si="17"/>
        <v>1</v>
      </c>
      <c r="H102" s="6" t="b">
        <f t="shared" si="18"/>
        <v>1</v>
      </c>
      <c r="I102" s="6">
        <f t="shared" si="19"/>
        <v>1</v>
      </c>
    </row>
    <row r="103" spans="1:11" ht="17.25" thickBot="1" x14ac:dyDescent="0.35">
      <c r="B103" s="4"/>
      <c r="C103" s="4" t="s">
        <v>159</v>
      </c>
      <c r="D103" s="4" t="s">
        <v>316</v>
      </c>
      <c r="E103" s="4" t="s">
        <v>638</v>
      </c>
      <c r="F103" s="6" t="b">
        <f t="shared" si="16"/>
        <v>1</v>
      </c>
      <c r="G103" s="6">
        <f t="shared" si="17"/>
        <v>1</v>
      </c>
      <c r="H103" s="6" t="b">
        <f t="shared" si="18"/>
        <v>0</v>
      </c>
      <c r="I103" s="6">
        <f t="shared" si="19"/>
        <v>0</v>
      </c>
    </row>
    <row r="104" spans="1:11" ht="17.25" thickBot="1" x14ac:dyDescent="0.35">
      <c r="B104" s="4"/>
      <c r="C104" s="4" t="s">
        <v>160</v>
      </c>
      <c r="D104" s="4" t="s">
        <v>429</v>
      </c>
      <c r="E104" s="14" t="s">
        <v>639</v>
      </c>
      <c r="F104" s="6" t="b">
        <f t="shared" si="16"/>
        <v>1</v>
      </c>
      <c r="G104" s="6">
        <f t="shared" si="17"/>
        <v>1</v>
      </c>
      <c r="H104" s="6" t="b">
        <f t="shared" si="18"/>
        <v>1</v>
      </c>
      <c r="I104" s="6">
        <f t="shared" si="19"/>
        <v>1</v>
      </c>
    </row>
    <row r="105" spans="1:11" ht="17.25" thickBot="1" x14ac:dyDescent="0.35">
      <c r="B105" s="4"/>
      <c r="C105" s="4"/>
      <c r="D105" s="4"/>
      <c r="E105" s="4" t="s">
        <v>640</v>
      </c>
      <c r="F105" s="6" t="b">
        <f t="shared" si="16"/>
        <v>0</v>
      </c>
      <c r="G105" s="6">
        <f t="shared" si="17"/>
        <v>0</v>
      </c>
      <c r="H105" s="6" t="b">
        <f t="shared" si="18"/>
        <v>0</v>
      </c>
      <c r="I105" s="6">
        <f t="shared" si="19"/>
        <v>0</v>
      </c>
    </row>
    <row r="106" spans="1:11" ht="17.25" thickBot="1" x14ac:dyDescent="0.35">
      <c r="B106" s="5"/>
      <c r="C106" s="5"/>
      <c r="D106" s="5"/>
      <c r="E106" s="5" t="s">
        <v>519</v>
      </c>
      <c r="F106" s="6" t="b">
        <f t="shared" si="16"/>
        <v>0</v>
      </c>
      <c r="G106" s="6">
        <f t="shared" si="17"/>
        <v>0</v>
      </c>
      <c r="H106" s="6" t="b">
        <f t="shared" si="18"/>
        <v>0</v>
      </c>
      <c r="I106" s="6">
        <f t="shared" si="19"/>
        <v>0</v>
      </c>
      <c r="J106">
        <f t="shared" ref="J106" si="27">IF(hascolor(E102:E106,$E$6)=TRUE, 1, 0)</f>
        <v>1</v>
      </c>
    </row>
    <row r="107" spans="1:11" ht="17.25" thickBot="1" x14ac:dyDescent="0.35">
      <c r="B107" s="6" t="s">
        <v>101</v>
      </c>
      <c r="C107" s="6" t="s">
        <v>161</v>
      </c>
      <c r="D107" s="6" t="s">
        <v>317</v>
      </c>
      <c r="E107" s="13" t="s">
        <v>640</v>
      </c>
      <c r="F107" s="6" t="b">
        <f t="shared" si="16"/>
        <v>1</v>
      </c>
      <c r="G107" s="6">
        <f t="shared" si="17"/>
        <v>1</v>
      </c>
      <c r="H107" s="6" t="b">
        <f t="shared" si="18"/>
        <v>1</v>
      </c>
      <c r="I107" s="6">
        <f t="shared" si="19"/>
        <v>1</v>
      </c>
    </row>
    <row r="108" spans="1:11" ht="17.25" thickBot="1" x14ac:dyDescent="0.35">
      <c r="B108" s="4"/>
      <c r="C108" s="4" t="s">
        <v>162</v>
      </c>
      <c r="D108" s="4" t="s">
        <v>428</v>
      </c>
      <c r="E108" s="4" t="s">
        <v>638</v>
      </c>
      <c r="F108" s="6" t="b">
        <f t="shared" si="16"/>
        <v>1</v>
      </c>
      <c r="G108" s="6">
        <f t="shared" si="17"/>
        <v>1</v>
      </c>
      <c r="H108" s="6" t="b">
        <f t="shared" si="18"/>
        <v>0</v>
      </c>
      <c r="I108" s="6">
        <f t="shared" si="19"/>
        <v>0</v>
      </c>
    </row>
    <row r="109" spans="1:11" ht="17.25" thickBot="1" x14ac:dyDescent="0.35">
      <c r="B109" s="4"/>
      <c r="C109" s="4"/>
      <c r="D109" s="4"/>
      <c r="E109" s="14" t="s">
        <v>641</v>
      </c>
      <c r="F109" s="6" t="b">
        <f t="shared" si="16"/>
        <v>0</v>
      </c>
      <c r="G109" s="6">
        <f t="shared" si="17"/>
        <v>0</v>
      </c>
      <c r="H109" s="6" t="b">
        <f t="shared" si="18"/>
        <v>1</v>
      </c>
      <c r="I109" s="6">
        <f t="shared" si="19"/>
        <v>1</v>
      </c>
    </row>
    <row r="110" spans="1:11" ht="17.25" thickBot="1" x14ac:dyDescent="0.35">
      <c r="B110" s="4"/>
      <c r="C110" s="4"/>
      <c r="D110" s="4"/>
      <c r="E110" s="4" t="s">
        <v>637</v>
      </c>
      <c r="F110" s="6" t="b">
        <f t="shared" si="16"/>
        <v>0</v>
      </c>
      <c r="G110" s="6">
        <f t="shared" si="17"/>
        <v>0</v>
      </c>
      <c r="H110" s="6" t="b">
        <f t="shared" si="18"/>
        <v>0</v>
      </c>
      <c r="I110" s="6">
        <f t="shared" si="19"/>
        <v>0</v>
      </c>
    </row>
    <row r="111" spans="1:11" ht="17.25" thickBot="1" x14ac:dyDescent="0.35">
      <c r="B111" s="5"/>
      <c r="C111" s="5"/>
      <c r="D111" s="5"/>
      <c r="E111" s="5" t="s">
        <v>520</v>
      </c>
      <c r="F111" s="6" t="b">
        <f t="shared" si="16"/>
        <v>0</v>
      </c>
      <c r="G111" s="6">
        <f t="shared" si="17"/>
        <v>0</v>
      </c>
      <c r="H111" s="6" t="b">
        <f t="shared" si="18"/>
        <v>0</v>
      </c>
      <c r="I111" s="6">
        <f t="shared" si="19"/>
        <v>0</v>
      </c>
      <c r="J111">
        <f t="shared" ref="J111" si="28">IF(hascolor(E107:E111,$E$6)=TRUE, 1, 0)</f>
        <v>1</v>
      </c>
    </row>
    <row r="112" spans="1:11" ht="17.25" thickBot="1" x14ac:dyDescent="0.35">
      <c r="B112" s="6" t="s">
        <v>102</v>
      </c>
      <c r="C112" s="6" t="s">
        <v>163</v>
      </c>
      <c r="D112" s="6" t="s">
        <v>318</v>
      </c>
      <c r="E112" s="6" t="s">
        <v>642</v>
      </c>
      <c r="F112" s="6" t="b">
        <f t="shared" si="16"/>
        <v>1</v>
      </c>
      <c r="G112" s="6">
        <f t="shared" si="17"/>
        <v>1</v>
      </c>
      <c r="H112" s="6" t="b">
        <f t="shared" si="18"/>
        <v>0</v>
      </c>
      <c r="I112" s="6">
        <f t="shared" si="19"/>
        <v>0</v>
      </c>
    </row>
    <row r="113" spans="2:10" ht="17.25" thickBot="1" x14ac:dyDescent="0.35">
      <c r="B113" s="4"/>
      <c r="C113" s="4" t="s">
        <v>164</v>
      </c>
      <c r="D113" s="4" t="s">
        <v>425</v>
      </c>
      <c r="E113" s="11" t="s">
        <v>643</v>
      </c>
      <c r="F113" s="6" t="b">
        <f t="shared" si="16"/>
        <v>1</v>
      </c>
      <c r="G113" s="6">
        <f t="shared" si="17"/>
        <v>1</v>
      </c>
      <c r="H113" s="6" t="b">
        <f t="shared" si="18"/>
        <v>1</v>
      </c>
      <c r="I113" s="6">
        <f t="shared" si="19"/>
        <v>1</v>
      </c>
    </row>
    <row r="114" spans="2:10" ht="17.25" thickBot="1" x14ac:dyDescent="0.35">
      <c r="B114" s="4"/>
      <c r="C114" s="4"/>
      <c r="D114" s="4"/>
      <c r="E114" t="s">
        <v>644</v>
      </c>
      <c r="F114" s="6" t="b">
        <f t="shared" si="16"/>
        <v>0</v>
      </c>
      <c r="G114" s="6">
        <f t="shared" si="17"/>
        <v>0</v>
      </c>
      <c r="H114" s="6" t="b">
        <f t="shared" si="18"/>
        <v>0</v>
      </c>
      <c r="I114" s="6">
        <f t="shared" si="19"/>
        <v>0</v>
      </c>
    </row>
    <row r="115" spans="2:10" ht="17.25" thickBot="1" x14ac:dyDescent="0.35">
      <c r="B115" s="4"/>
      <c r="C115" s="4"/>
      <c r="D115" s="4"/>
      <c r="E115" s="11" t="s">
        <v>645</v>
      </c>
      <c r="F115" s="6" t="b">
        <f t="shared" si="16"/>
        <v>0</v>
      </c>
      <c r="G115" s="6">
        <f t="shared" si="17"/>
        <v>0</v>
      </c>
      <c r="H115" s="6" t="b">
        <f t="shared" si="18"/>
        <v>1</v>
      </c>
      <c r="I115" s="6">
        <f t="shared" si="19"/>
        <v>1</v>
      </c>
    </row>
    <row r="116" spans="2:10" ht="17.25" thickBot="1" x14ac:dyDescent="0.35">
      <c r="B116" s="5"/>
      <c r="C116" s="5"/>
      <c r="D116" s="5"/>
      <c r="E116" s="5" t="s">
        <v>521</v>
      </c>
      <c r="F116" s="6" t="b">
        <f t="shared" si="16"/>
        <v>0</v>
      </c>
      <c r="G116" s="6">
        <f t="shared" si="17"/>
        <v>0</v>
      </c>
      <c r="H116" s="6" t="b">
        <f t="shared" si="18"/>
        <v>0</v>
      </c>
      <c r="I116" s="6">
        <f t="shared" si="19"/>
        <v>0</v>
      </c>
      <c r="J116">
        <f t="shared" ref="J116" si="29">IF(hascolor(E112:E116,$E$6)=TRUE, 1, 0)</f>
        <v>1</v>
      </c>
    </row>
    <row r="117" spans="2:10" ht="17.25" thickBot="1" x14ac:dyDescent="0.35">
      <c r="B117" s="6" t="s">
        <v>29</v>
      </c>
      <c r="C117" s="6" t="s">
        <v>165</v>
      </c>
      <c r="D117" s="6" t="s">
        <v>319</v>
      </c>
      <c r="E117" s="13" t="s">
        <v>646</v>
      </c>
      <c r="F117" s="6" t="b">
        <f t="shared" si="16"/>
        <v>1</v>
      </c>
      <c r="G117" s="6">
        <f t="shared" si="17"/>
        <v>1</v>
      </c>
      <c r="H117" s="6" t="b">
        <f t="shared" si="18"/>
        <v>1</v>
      </c>
      <c r="I117" s="6">
        <f t="shared" si="19"/>
        <v>1</v>
      </c>
    </row>
    <row r="118" spans="2:10" ht="17.25" thickBot="1" x14ac:dyDescent="0.35">
      <c r="B118" s="4"/>
      <c r="C118" s="4" t="s">
        <v>166</v>
      </c>
      <c r="D118" s="4" t="s">
        <v>427</v>
      </c>
      <c r="E118" s="11" t="s">
        <v>647</v>
      </c>
      <c r="F118" s="6" t="b">
        <f t="shared" si="16"/>
        <v>1</v>
      </c>
      <c r="G118" s="6">
        <f t="shared" si="17"/>
        <v>1</v>
      </c>
      <c r="H118" s="6" t="b">
        <f t="shared" si="18"/>
        <v>1</v>
      </c>
      <c r="I118" s="6">
        <f t="shared" si="19"/>
        <v>1</v>
      </c>
    </row>
    <row r="119" spans="2:10" ht="17.25" thickBot="1" x14ac:dyDescent="0.35">
      <c r="B119" s="4"/>
      <c r="C119" s="4"/>
      <c r="D119" s="4"/>
      <c r="E119" t="s">
        <v>648</v>
      </c>
      <c r="F119" s="6" t="b">
        <f t="shared" si="16"/>
        <v>0</v>
      </c>
      <c r="G119" s="6">
        <f t="shared" si="17"/>
        <v>0</v>
      </c>
      <c r="H119" s="6" t="b">
        <f t="shared" si="18"/>
        <v>0</v>
      </c>
      <c r="I119" s="6">
        <f t="shared" si="19"/>
        <v>0</v>
      </c>
    </row>
    <row r="120" spans="2:10" ht="17.25" thickBot="1" x14ac:dyDescent="0.35">
      <c r="B120" s="4"/>
      <c r="C120" s="4"/>
      <c r="D120" s="4"/>
      <c r="E120" s="4" t="s">
        <v>649</v>
      </c>
      <c r="F120" s="6" t="b">
        <f t="shared" si="16"/>
        <v>0</v>
      </c>
      <c r="G120" s="6">
        <f t="shared" si="17"/>
        <v>0</v>
      </c>
      <c r="H120" s="6" t="b">
        <f t="shared" si="18"/>
        <v>0</v>
      </c>
      <c r="I120" s="6">
        <f t="shared" si="19"/>
        <v>0</v>
      </c>
    </row>
    <row r="121" spans="2:10" ht="17.25" thickBot="1" x14ac:dyDescent="0.35">
      <c r="B121" s="5"/>
      <c r="C121" s="5"/>
      <c r="D121" s="5"/>
      <c r="E121" s="5" t="s">
        <v>522</v>
      </c>
      <c r="F121" s="6" t="b">
        <f t="shared" si="16"/>
        <v>0</v>
      </c>
      <c r="G121" s="6">
        <f t="shared" si="17"/>
        <v>0</v>
      </c>
      <c r="H121" s="6" t="b">
        <f t="shared" si="18"/>
        <v>0</v>
      </c>
      <c r="I121" s="6">
        <f t="shared" si="19"/>
        <v>0</v>
      </c>
      <c r="J121">
        <f t="shared" ref="J121" si="30">IF(hascolor(E117:E121,$E$6)=TRUE, 1, 0)</f>
        <v>1</v>
      </c>
    </row>
    <row r="122" spans="2:10" ht="17.25" thickBot="1" x14ac:dyDescent="0.35">
      <c r="B122" s="6" t="s">
        <v>30</v>
      </c>
      <c r="C122" s="6" t="s">
        <v>167</v>
      </c>
      <c r="D122" s="6" t="s">
        <v>320</v>
      </c>
      <c r="E122" s="13" t="s">
        <v>650</v>
      </c>
      <c r="F122" s="6" t="b">
        <f t="shared" si="16"/>
        <v>1</v>
      </c>
      <c r="G122" s="6">
        <f t="shared" si="17"/>
        <v>1</v>
      </c>
      <c r="H122" s="6" t="b">
        <f t="shared" si="18"/>
        <v>1</v>
      </c>
      <c r="I122" s="6">
        <f t="shared" si="19"/>
        <v>1</v>
      </c>
    </row>
    <row r="123" spans="2:10" ht="17.25" thickBot="1" x14ac:dyDescent="0.35">
      <c r="B123" s="4"/>
      <c r="C123" s="4" t="s">
        <v>168</v>
      </c>
      <c r="D123" s="4" t="s">
        <v>430</v>
      </c>
      <c r="E123" s="11" t="s">
        <v>651</v>
      </c>
      <c r="F123" s="6" t="b">
        <f t="shared" si="16"/>
        <v>1</v>
      </c>
      <c r="G123" s="6">
        <f t="shared" si="17"/>
        <v>1</v>
      </c>
      <c r="H123" s="6" t="b">
        <f t="shared" si="18"/>
        <v>1</v>
      </c>
      <c r="I123" s="6">
        <f t="shared" si="19"/>
        <v>1</v>
      </c>
    </row>
    <row r="124" spans="2:10" ht="17.25" thickBot="1" x14ac:dyDescent="0.35">
      <c r="B124" s="4"/>
      <c r="C124" s="4"/>
      <c r="D124" s="4"/>
      <c r="E124" t="s">
        <v>652</v>
      </c>
      <c r="F124" s="6" t="b">
        <f t="shared" si="16"/>
        <v>0</v>
      </c>
      <c r="G124" s="6">
        <f t="shared" si="17"/>
        <v>0</v>
      </c>
      <c r="H124" s="6" t="b">
        <f t="shared" si="18"/>
        <v>0</v>
      </c>
      <c r="I124" s="6">
        <f t="shared" si="19"/>
        <v>0</v>
      </c>
    </row>
    <row r="125" spans="2:10" ht="17.25" thickBot="1" x14ac:dyDescent="0.35">
      <c r="B125" s="4"/>
      <c r="C125" s="4"/>
      <c r="D125" s="4"/>
      <c r="E125" s="4" t="s">
        <v>653</v>
      </c>
      <c r="F125" s="6" t="b">
        <f t="shared" si="16"/>
        <v>0</v>
      </c>
      <c r="G125" s="6">
        <f t="shared" si="17"/>
        <v>0</v>
      </c>
      <c r="H125" s="6" t="b">
        <f t="shared" si="18"/>
        <v>0</v>
      </c>
      <c r="I125" s="6">
        <f t="shared" si="19"/>
        <v>0</v>
      </c>
    </row>
    <row r="126" spans="2:10" ht="17.25" thickBot="1" x14ac:dyDescent="0.35">
      <c r="B126" s="5"/>
      <c r="C126" s="5"/>
      <c r="D126" s="5"/>
      <c r="E126" s="5" t="s">
        <v>523</v>
      </c>
      <c r="F126" s="6" t="b">
        <f t="shared" si="16"/>
        <v>0</v>
      </c>
      <c r="G126" s="6">
        <f t="shared" si="17"/>
        <v>0</v>
      </c>
      <c r="H126" s="6" t="b">
        <f t="shared" si="18"/>
        <v>0</v>
      </c>
      <c r="I126" s="6">
        <f t="shared" si="19"/>
        <v>0</v>
      </c>
      <c r="J126">
        <f t="shared" ref="J126" si="31">IF(hascolor(E122:E126,$E$6)=TRUE, 1, 0)</f>
        <v>1</v>
      </c>
    </row>
    <row r="127" spans="2:10" ht="17.25" thickBot="1" x14ac:dyDescent="0.35">
      <c r="B127" s="6" t="s">
        <v>103</v>
      </c>
      <c r="C127" s="6" t="s">
        <v>169</v>
      </c>
      <c r="D127" s="6" t="s">
        <v>875</v>
      </c>
      <c r="E127" s="13" t="s">
        <v>654</v>
      </c>
      <c r="F127" s="6" t="b">
        <f t="shared" si="16"/>
        <v>1</v>
      </c>
      <c r="G127" s="6">
        <f t="shared" si="17"/>
        <v>1</v>
      </c>
      <c r="H127" s="6" t="b">
        <f t="shared" si="18"/>
        <v>1</v>
      </c>
      <c r="I127" s="6">
        <f t="shared" si="19"/>
        <v>1</v>
      </c>
    </row>
    <row r="128" spans="2:10" ht="17.25" thickBot="1" x14ac:dyDescent="0.35">
      <c r="B128" s="4"/>
      <c r="C128" s="4" t="s">
        <v>170</v>
      </c>
      <c r="D128" s="4" t="s">
        <v>431</v>
      </c>
      <c r="E128" s="11" t="s">
        <v>655</v>
      </c>
      <c r="F128" s="6" t="b">
        <f t="shared" si="16"/>
        <v>1</v>
      </c>
      <c r="G128" s="6">
        <f t="shared" si="17"/>
        <v>1</v>
      </c>
      <c r="H128" s="6" t="b">
        <f t="shared" si="18"/>
        <v>1</v>
      </c>
      <c r="I128" s="6">
        <f t="shared" si="19"/>
        <v>1</v>
      </c>
    </row>
    <row r="129" spans="2:10" ht="17.25" thickBot="1" x14ac:dyDescent="0.35">
      <c r="B129" s="4"/>
      <c r="C129" s="4"/>
      <c r="D129" s="4"/>
      <c r="E129" t="s">
        <v>656</v>
      </c>
      <c r="F129" s="6" t="b">
        <f t="shared" si="16"/>
        <v>0</v>
      </c>
      <c r="G129" s="6">
        <f t="shared" si="17"/>
        <v>0</v>
      </c>
      <c r="H129" s="6" t="b">
        <f t="shared" si="18"/>
        <v>0</v>
      </c>
      <c r="I129" s="6">
        <f t="shared" si="19"/>
        <v>0</v>
      </c>
    </row>
    <row r="130" spans="2:10" ht="17.25" thickBot="1" x14ac:dyDescent="0.35">
      <c r="B130" s="4"/>
      <c r="C130" s="4"/>
      <c r="D130" s="4"/>
      <c r="E130" s="4" t="s">
        <v>657</v>
      </c>
      <c r="F130" s="6" t="b">
        <f t="shared" si="16"/>
        <v>0</v>
      </c>
      <c r="G130" s="6">
        <f t="shared" si="17"/>
        <v>0</v>
      </c>
      <c r="H130" s="6" t="b">
        <f t="shared" si="18"/>
        <v>0</v>
      </c>
      <c r="I130" s="6">
        <f t="shared" si="19"/>
        <v>0</v>
      </c>
    </row>
    <row r="131" spans="2:10" ht="17.25" thickBot="1" x14ac:dyDescent="0.35">
      <c r="B131" s="5"/>
      <c r="C131" s="5"/>
      <c r="D131" s="5"/>
      <c r="E131" s="5" t="s">
        <v>525</v>
      </c>
      <c r="F131" s="6" t="b">
        <f t="shared" ref="F131:F194" si="32">NOT(ISBLANK(D131))</f>
        <v>0</v>
      </c>
      <c r="G131" s="6">
        <f t="shared" ref="G131:G194" si="33">IF(F131=TRUE, 1, 0)</f>
        <v>0</v>
      </c>
      <c r="H131" s="6" t="b">
        <f t="shared" ref="H131:H194" si="34">hascolor(E131,$E$6)</f>
        <v>0</v>
      </c>
      <c r="I131" s="6">
        <f t="shared" ref="I131:I194" si="35">IF(H131, 1, 0)</f>
        <v>0</v>
      </c>
      <c r="J131">
        <f t="shared" ref="J131" si="36">IF(hascolor(E127:E131,$E$6)=TRUE, 1, 0)</f>
        <v>1</v>
      </c>
    </row>
    <row r="132" spans="2:10" ht="17.25" thickBot="1" x14ac:dyDescent="0.35">
      <c r="B132" s="6" t="s">
        <v>31</v>
      </c>
      <c r="C132" s="6" t="s">
        <v>171</v>
      </c>
      <c r="D132" s="6" t="s">
        <v>876</v>
      </c>
      <c r="E132" s="13" t="s">
        <v>657</v>
      </c>
      <c r="F132" s="6" t="b">
        <f t="shared" si="32"/>
        <v>1</v>
      </c>
      <c r="G132" s="6">
        <f t="shared" si="33"/>
        <v>1</v>
      </c>
      <c r="H132" s="6" t="b">
        <f t="shared" si="34"/>
        <v>1</v>
      </c>
      <c r="I132" s="6">
        <f t="shared" si="35"/>
        <v>1</v>
      </c>
    </row>
    <row r="133" spans="2:10" ht="17.25" thickBot="1" x14ac:dyDescent="0.35">
      <c r="B133" s="4"/>
      <c r="C133" s="4" t="s">
        <v>172</v>
      </c>
      <c r="D133" s="4" t="s">
        <v>426</v>
      </c>
      <c r="E133" s="11" t="s">
        <v>656</v>
      </c>
      <c r="F133" s="6" t="b">
        <f t="shared" si="32"/>
        <v>1</v>
      </c>
      <c r="G133" s="6">
        <f t="shared" si="33"/>
        <v>1</v>
      </c>
      <c r="H133" s="6" t="b">
        <f t="shared" si="34"/>
        <v>1</v>
      </c>
      <c r="I133" s="6">
        <f t="shared" si="35"/>
        <v>1</v>
      </c>
    </row>
    <row r="134" spans="2:10" ht="17.25" thickBot="1" x14ac:dyDescent="0.35">
      <c r="B134" s="4"/>
      <c r="C134" s="4"/>
      <c r="D134" s="4"/>
      <c r="E134" t="s">
        <v>658</v>
      </c>
      <c r="F134" s="6" t="b">
        <f t="shared" si="32"/>
        <v>0</v>
      </c>
      <c r="G134" s="6">
        <f t="shared" si="33"/>
        <v>0</v>
      </c>
      <c r="H134" s="6" t="b">
        <f t="shared" si="34"/>
        <v>0</v>
      </c>
      <c r="I134" s="6">
        <f t="shared" si="35"/>
        <v>0</v>
      </c>
    </row>
    <row r="135" spans="2:10" ht="17.25" thickBot="1" x14ac:dyDescent="0.35">
      <c r="B135" s="4"/>
      <c r="C135" s="4"/>
      <c r="D135" s="4"/>
      <c r="E135" s="4" t="s">
        <v>659</v>
      </c>
      <c r="F135" s="6" t="b">
        <f t="shared" si="32"/>
        <v>0</v>
      </c>
      <c r="G135" s="6">
        <f t="shared" si="33"/>
        <v>0</v>
      </c>
      <c r="H135" s="6" t="b">
        <f t="shared" si="34"/>
        <v>0</v>
      </c>
      <c r="I135" s="6">
        <f t="shared" si="35"/>
        <v>0</v>
      </c>
    </row>
    <row r="136" spans="2:10" ht="17.25" thickBot="1" x14ac:dyDescent="0.35">
      <c r="B136" s="5"/>
      <c r="C136" s="5"/>
      <c r="D136" s="5"/>
      <c r="E136" s="5" t="s">
        <v>524</v>
      </c>
      <c r="F136" s="6" t="b">
        <f t="shared" si="32"/>
        <v>0</v>
      </c>
      <c r="G136" s="6">
        <f t="shared" si="33"/>
        <v>0</v>
      </c>
      <c r="H136" s="6" t="b">
        <f t="shared" si="34"/>
        <v>0</v>
      </c>
      <c r="I136" s="6">
        <f t="shared" si="35"/>
        <v>0</v>
      </c>
      <c r="J136">
        <f t="shared" ref="J136" si="37">IF(hascolor(E132:E136,$E$6)=TRUE, 1, 0)</f>
        <v>1</v>
      </c>
    </row>
    <row r="137" spans="2:10" ht="17.25" thickBot="1" x14ac:dyDescent="0.35">
      <c r="B137" s="6" t="s">
        <v>104</v>
      </c>
      <c r="C137" s="6" t="s">
        <v>173</v>
      </c>
      <c r="D137" s="6" t="s">
        <v>321</v>
      </c>
      <c r="E137" s="13" t="s">
        <v>660</v>
      </c>
      <c r="F137" s="6" t="b">
        <f t="shared" si="32"/>
        <v>1</v>
      </c>
      <c r="G137" s="6">
        <f t="shared" si="33"/>
        <v>1</v>
      </c>
      <c r="H137" s="6" t="b">
        <f t="shared" si="34"/>
        <v>1</v>
      </c>
      <c r="I137" s="6">
        <f t="shared" si="35"/>
        <v>1</v>
      </c>
    </row>
    <row r="138" spans="2:10" ht="17.25" thickBot="1" x14ac:dyDescent="0.35">
      <c r="B138" s="4"/>
      <c r="C138" s="4" t="s">
        <v>174</v>
      </c>
      <c r="D138" s="4" t="s">
        <v>422</v>
      </c>
      <c r="E138" s="11" t="s">
        <v>661</v>
      </c>
      <c r="F138" s="6" t="b">
        <f t="shared" si="32"/>
        <v>1</v>
      </c>
      <c r="G138" s="6">
        <f t="shared" si="33"/>
        <v>1</v>
      </c>
      <c r="H138" s="6" t="b">
        <f t="shared" si="34"/>
        <v>1</v>
      </c>
      <c r="I138" s="6">
        <f t="shared" si="35"/>
        <v>1</v>
      </c>
    </row>
    <row r="139" spans="2:10" ht="17.25" thickBot="1" x14ac:dyDescent="0.35">
      <c r="B139" s="4"/>
      <c r="C139" s="4"/>
      <c r="D139" s="4"/>
      <c r="E139" t="s">
        <v>662</v>
      </c>
      <c r="F139" s="6" t="b">
        <f t="shared" si="32"/>
        <v>0</v>
      </c>
      <c r="G139" s="6">
        <f t="shared" si="33"/>
        <v>0</v>
      </c>
      <c r="H139" s="6" t="b">
        <f t="shared" si="34"/>
        <v>0</v>
      </c>
      <c r="I139" s="6">
        <f t="shared" si="35"/>
        <v>0</v>
      </c>
    </row>
    <row r="140" spans="2:10" ht="17.25" thickBot="1" x14ac:dyDescent="0.35">
      <c r="B140" s="4"/>
      <c r="C140" s="4"/>
      <c r="D140" s="4"/>
      <c r="E140" s="4" t="s">
        <v>639</v>
      </c>
      <c r="F140" s="6" t="b">
        <f t="shared" si="32"/>
        <v>0</v>
      </c>
      <c r="G140" s="6">
        <f t="shared" si="33"/>
        <v>0</v>
      </c>
      <c r="H140" s="6" t="b">
        <f t="shared" si="34"/>
        <v>0</v>
      </c>
      <c r="I140" s="6">
        <f t="shared" si="35"/>
        <v>0</v>
      </c>
    </row>
    <row r="141" spans="2:10" ht="17.25" thickBot="1" x14ac:dyDescent="0.35">
      <c r="B141" s="5"/>
      <c r="C141" s="5"/>
      <c r="D141" s="5"/>
      <c r="E141" s="5" t="s">
        <v>526</v>
      </c>
      <c r="F141" s="6" t="b">
        <f t="shared" si="32"/>
        <v>0</v>
      </c>
      <c r="G141" s="6">
        <f t="shared" si="33"/>
        <v>0</v>
      </c>
      <c r="H141" s="6" t="b">
        <f t="shared" si="34"/>
        <v>0</v>
      </c>
      <c r="I141" s="6">
        <f t="shared" si="35"/>
        <v>0</v>
      </c>
      <c r="J141">
        <f t="shared" ref="J141" si="38">IF(hascolor(E137:E141,$E$6)=TRUE, 1, 0)</f>
        <v>1</v>
      </c>
    </row>
    <row r="142" spans="2:10" ht="17.25" thickBot="1" x14ac:dyDescent="0.35">
      <c r="B142" s="6" t="s">
        <v>105</v>
      </c>
      <c r="C142" s="6" t="s">
        <v>175</v>
      </c>
      <c r="D142" s="6" t="s">
        <v>322</v>
      </c>
      <c r="E142" s="13" t="s">
        <v>663</v>
      </c>
      <c r="F142" s="6" t="b">
        <f t="shared" si="32"/>
        <v>1</v>
      </c>
      <c r="G142" s="6">
        <f t="shared" si="33"/>
        <v>1</v>
      </c>
      <c r="H142" s="6" t="b">
        <f t="shared" si="34"/>
        <v>1</v>
      </c>
      <c r="I142" s="6">
        <f t="shared" si="35"/>
        <v>1</v>
      </c>
    </row>
    <row r="143" spans="2:10" ht="17.25" thickBot="1" x14ac:dyDescent="0.35">
      <c r="B143" s="4"/>
      <c r="C143" s="4" t="s">
        <v>176</v>
      </c>
      <c r="D143" s="4" t="s">
        <v>423</v>
      </c>
      <c r="E143" s="11" t="s">
        <v>664</v>
      </c>
      <c r="F143" s="6" t="b">
        <f t="shared" si="32"/>
        <v>1</v>
      </c>
      <c r="G143" s="6">
        <f t="shared" si="33"/>
        <v>1</v>
      </c>
      <c r="H143" s="6" t="b">
        <f t="shared" si="34"/>
        <v>1</v>
      </c>
      <c r="I143" s="6">
        <f t="shared" si="35"/>
        <v>1</v>
      </c>
    </row>
    <row r="144" spans="2:10" ht="17.25" thickBot="1" x14ac:dyDescent="0.35">
      <c r="B144" s="4"/>
      <c r="C144" s="4" t="s">
        <v>177</v>
      </c>
      <c r="D144" s="4"/>
      <c r="E144" t="s">
        <v>665</v>
      </c>
      <c r="F144" s="6" t="b">
        <f t="shared" si="32"/>
        <v>0</v>
      </c>
      <c r="G144" s="6">
        <f t="shared" si="33"/>
        <v>0</v>
      </c>
      <c r="H144" s="6" t="b">
        <f t="shared" si="34"/>
        <v>0</v>
      </c>
      <c r="I144" s="6">
        <f t="shared" si="35"/>
        <v>0</v>
      </c>
    </row>
    <row r="145" spans="1:11" ht="17.25" thickBot="1" x14ac:dyDescent="0.35">
      <c r="B145" s="4"/>
      <c r="C145" s="4" t="s">
        <v>178</v>
      </c>
      <c r="E145" s="4" t="s">
        <v>666</v>
      </c>
      <c r="F145" s="6" t="b">
        <f t="shared" si="32"/>
        <v>0</v>
      </c>
      <c r="G145" s="6">
        <f t="shared" si="33"/>
        <v>0</v>
      </c>
      <c r="H145" s="6" t="b">
        <f t="shared" si="34"/>
        <v>0</v>
      </c>
      <c r="I145" s="6">
        <f t="shared" si="35"/>
        <v>0</v>
      </c>
    </row>
    <row r="146" spans="1:11" ht="17.25" thickBot="1" x14ac:dyDescent="0.35">
      <c r="B146" s="5"/>
      <c r="C146" s="5"/>
      <c r="D146" s="5"/>
      <c r="E146" s="5" t="s">
        <v>518</v>
      </c>
      <c r="F146" s="6" t="b">
        <f t="shared" si="32"/>
        <v>0</v>
      </c>
      <c r="G146" s="6">
        <f t="shared" si="33"/>
        <v>0</v>
      </c>
      <c r="H146" s="6" t="b">
        <f t="shared" si="34"/>
        <v>0</v>
      </c>
      <c r="I146" s="6">
        <f t="shared" si="35"/>
        <v>0</v>
      </c>
      <c r="J146">
        <f t="shared" ref="J146" si="39">IF(hascolor(E142:E146,$E$6)=TRUE, 1, 0)</f>
        <v>1</v>
      </c>
    </row>
    <row r="147" spans="1:11" ht="17.25" thickBot="1" x14ac:dyDescent="0.35">
      <c r="B147" s="6" t="s">
        <v>32</v>
      </c>
      <c r="C147" s="6" t="s">
        <v>179</v>
      </c>
      <c r="D147" s="6" t="s">
        <v>323</v>
      </c>
      <c r="E147" s="13" t="s">
        <v>667</v>
      </c>
      <c r="F147" s="6" t="b">
        <f t="shared" si="32"/>
        <v>1</v>
      </c>
      <c r="G147" s="6">
        <f t="shared" si="33"/>
        <v>1</v>
      </c>
      <c r="H147" s="6" t="b">
        <f t="shared" si="34"/>
        <v>1</v>
      </c>
      <c r="I147" s="6">
        <f t="shared" si="35"/>
        <v>1</v>
      </c>
    </row>
    <row r="148" spans="1:11" ht="17.25" thickBot="1" x14ac:dyDescent="0.35">
      <c r="B148" s="4"/>
      <c r="C148" s="4" t="s">
        <v>180</v>
      </c>
      <c r="D148" s="4" t="s">
        <v>424</v>
      </c>
      <c r="E148" s="11" t="s">
        <v>668</v>
      </c>
      <c r="F148" s="6" t="b">
        <f t="shared" si="32"/>
        <v>1</v>
      </c>
      <c r="G148" s="6">
        <f t="shared" si="33"/>
        <v>1</v>
      </c>
      <c r="H148" s="6" t="b">
        <f t="shared" si="34"/>
        <v>1</v>
      </c>
      <c r="I148" s="6">
        <f t="shared" si="35"/>
        <v>1</v>
      </c>
    </row>
    <row r="149" spans="1:11" ht="17.25" thickBot="1" x14ac:dyDescent="0.35">
      <c r="B149" s="4"/>
      <c r="C149" s="4"/>
      <c r="D149" s="4"/>
      <c r="E149" t="s">
        <v>662</v>
      </c>
      <c r="F149" s="6" t="b">
        <f t="shared" si="32"/>
        <v>0</v>
      </c>
      <c r="G149" s="6">
        <f t="shared" si="33"/>
        <v>0</v>
      </c>
      <c r="H149" s="6" t="b">
        <f t="shared" si="34"/>
        <v>0</v>
      </c>
      <c r="I149" s="6">
        <f t="shared" si="35"/>
        <v>0</v>
      </c>
    </row>
    <row r="150" spans="1:11" ht="17.25" thickBot="1" x14ac:dyDescent="0.35">
      <c r="B150" s="4"/>
      <c r="C150" s="4"/>
      <c r="D150" s="4"/>
      <c r="E150" s="4" t="s">
        <v>669</v>
      </c>
      <c r="F150" s="6" t="b">
        <f t="shared" si="32"/>
        <v>0</v>
      </c>
      <c r="G150" s="6">
        <f t="shared" si="33"/>
        <v>0</v>
      </c>
      <c r="H150" s="6" t="b">
        <f t="shared" si="34"/>
        <v>0</v>
      </c>
      <c r="I150" s="6">
        <f t="shared" si="35"/>
        <v>0</v>
      </c>
    </row>
    <row r="151" spans="1:11" ht="17.25" thickBot="1" x14ac:dyDescent="0.35">
      <c r="B151" s="5"/>
      <c r="C151" s="5"/>
      <c r="D151" s="5"/>
      <c r="E151" s="5" t="s">
        <v>527</v>
      </c>
      <c r="F151" s="6" t="b">
        <f t="shared" si="32"/>
        <v>0</v>
      </c>
      <c r="G151" s="6">
        <f t="shared" si="33"/>
        <v>0</v>
      </c>
      <c r="H151" s="6" t="b">
        <f t="shared" si="34"/>
        <v>0</v>
      </c>
      <c r="I151" s="6">
        <f t="shared" si="35"/>
        <v>0</v>
      </c>
      <c r="J151">
        <f t="shared" ref="J151" si="40">IF(hascolor(E147:E151,$E$6)=TRUE, 1, 0)</f>
        <v>1</v>
      </c>
      <c r="K151">
        <f>SUM(J102:J151)</f>
        <v>10</v>
      </c>
    </row>
    <row r="152" spans="1:11" ht="17.25" thickBot="1" x14ac:dyDescent="0.35">
      <c r="A152" s="2" t="s">
        <v>111</v>
      </c>
      <c r="B152" s="6" t="s">
        <v>33</v>
      </c>
      <c r="C152" s="6" t="s">
        <v>181</v>
      </c>
      <c r="D152" s="6" t="s">
        <v>324</v>
      </c>
      <c r="E152" s="13" t="s">
        <v>670</v>
      </c>
      <c r="F152" s="6" t="b">
        <f t="shared" si="32"/>
        <v>1</v>
      </c>
      <c r="G152" s="6">
        <f t="shared" si="33"/>
        <v>1</v>
      </c>
      <c r="H152" s="6" t="b">
        <f t="shared" si="34"/>
        <v>1</v>
      </c>
      <c r="I152" s="6">
        <f t="shared" si="35"/>
        <v>1</v>
      </c>
    </row>
    <row r="153" spans="1:11" ht="17.25" thickBot="1" x14ac:dyDescent="0.35">
      <c r="B153" s="4"/>
      <c r="C153" s="4" t="s">
        <v>182</v>
      </c>
      <c r="D153" s="4" t="s">
        <v>421</v>
      </c>
      <c r="E153" s="4" t="s">
        <v>671</v>
      </c>
      <c r="F153" s="6" t="b">
        <f t="shared" si="32"/>
        <v>1</v>
      </c>
      <c r="G153" s="6">
        <f t="shared" si="33"/>
        <v>1</v>
      </c>
      <c r="H153" s="6" t="b">
        <f t="shared" si="34"/>
        <v>0</v>
      </c>
      <c r="I153" s="6">
        <f t="shared" si="35"/>
        <v>0</v>
      </c>
    </row>
    <row r="154" spans="1:11" ht="17.25" thickBot="1" x14ac:dyDescent="0.35">
      <c r="B154" s="4"/>
      <c r="C154" s="4"/>
      <c r="D154" s="4"/>
      <c r="E154" t="s">
        <v>672</v>
      </c>
      <c r="F154" s="6" t="b">
        <f t="shared" si="32"/>
        <v>0</v>
      </c>
      <c r="G154" s="6">
        <f t="shared" si="33"/>
        <v>0</v>
      </c>
      <c r="H154" s="6" t="b">
        <f t="shared" si="34"/>
        <v>0</v>
      </c>
      <c r="I154" s="6">
        <f t="shared" si="35"/>
        <v>0</v>
      </c>
    </row>
    <row r="155" spans="1:11" ht="17.25" thickBot="1" x14ac:dyDescent="0.35">
      <c r="B155" s="4"/>
      <c r="C155" s="4"/>
      <c r="D155" s="4"/>
      <c r="E155" s="11" t="s">
        <v>673</v>
      </c>
      <c r="F155" s="6" t="b">
        <f t="shared" si="32"/>
        <v>0</v>
      </c>
      <c r="G155" s="6">
        <f t="shared" si="33"/>
        <v>0</v>
      </c>
      <c r="H155" s="6" t="b">
        <f t="shared" si="34"/>
        <v>1</v>
      </c>
      <c r="I155" s="6">
        <f t="shared" si="35"/>
        <v>1</v>
      </c>
    </row>
    <row r="156" spans="1:11" ht="17.25" thickBot="1" x14ac:dyDescent="0.35">
      <c r="B156" s="5"/>
      <c r="C156" s="5"/>
      <c r="D156" s="5"/>
      <c r="E156" s="5" t="s">
        <v>529</v>
      </c>
      <c r="F156" s="6" t="b">
        <f t="shared" si="32"/>
        <v>0</v>
      </c>
      <c r="G156" s="6">
        <f t="shared" si="33"/>
        <v>0</v>
      </c>
      <c r="H156" s="6" t="b">
        <f t="shared" si="34"/>
        <v>0</v>
      </c>
      <c r="I156" s="6">
        <f t="shared" si="35"/>
        <v>0</v>
      </c>
      <c r="J156">
        <f t="shared" ref="J156" si="41">IF(hascolor(E152:E156,$E$6)=TRUE, 1, 0)</f>
        <v>1</v>
      </c>
    </row>
    <row r="157" spans="1:11" ht="17.25" thickBot="1" x14ac:dyDescent="0.35">
      <c r="B157" s="6" t="s">
        <v>34</v>
      </c>
      <c r="C157" s="6" t="s">
        <v>183</v>
      </c>
      <c r="D157" s="6" t="s">
        <v>325</v>
      </c>
      <c r="E157" s="13" t="s">
        <v>671</v>
      </c>
      <c r="F157" s="6" t="b">
        <f t="shared" si="32"/>
        <v>1</v>
      </c>
      <c r="G157" s="6">
        <f t="shared" si="33"/>
        <v>1</v>
      </c>
      <c r="H157" s="6" t="b">
        <f t="shared" si="34"/>
        <v>1</v>
      </c>
      <c r="I157" s="6">
        <f t="shared" si="35"/>
        <v>1</v>
      </c>
    </row>
    <row r="158" spans="1:11" ht="17.25" thickBot="1" x14ac:dyDescent="0.35">
      <c r="B158" s="4"/>
      <c r="C158" s="4" t="s">
        <v>184</v>
      </c>
      <c r="D158" s="4" t="s">
        <v>420</v>
      </c>
      <c r="E158" s="11" t="s">
        <v>672</v>
      </c>
      <c r="F158" s="6" t="b">
        <f t="shared" si="32"/>
        <v>1</v>
      </c>
      <c r="G158" s="6">
        <f t="shared" si="33"/>
        <v>1</v>
      </c>
      <c r="H158" s="6" t="b">
        <f t="shared" si="34"/>
        <v>1</v>
      </c>
      <c r="I158" s="6">
        <f t="shared" si="35"/>
        <v>1</v>
      </c>
    </row>
    <row r="159" spans="1:11" ht="17.25" thickBot="1" x14ac:dyDescent="0.35">
      <c r="B159" s="4"/>
      <c r="C159" s="4"/>
      <c r="D159" s="4"/>
      <c r="E159" t="s">
        <v>674</v>
      </c>
      <c r="F159" s="6" t="b">
        <f t="shared" si="32"/>
        <v>0</v>
      </c>
      <c r="G159" s="6">
        <f t="shared" si="33"/>
        <v>0</v>
      </c>
      <c r="H159" s="6" t="b">
        <f t="shared" si="34"/>
        <v>0</v>
      </c>
      <c r="I159" s="6">
        <f t="shared" si="35"/>
        <v>0</v>
      </c>
    </row>
    <row r="160" spans="1:11" ht="17.25" thickBot="1" x14ac:dyDescent="0.35">
      <c r="B160" s="4"/>
      <c r="C160" s="4"/>
      <c r="D160" s="4"/>
      <c r="E160" s="4" t="s">
        <v>670</v>
      </c>
      <c r="F160" s="6" t="b">
        <f t="shared" si="32"/>
        <v>0</v>
      </c>
      <c r="G160" s="6">
        <f t="shared" si="33"/>
        <v>0</v>
      </c>
      <c r="H160" s="6" t="b">
        <f t="shared" si="34"/>
        <v>0</v>
      </c>
      <c r="I160" s="6">
        <f t="shared" si="35"/>
        <v>0</v>
      </c>
    </row>
    <row r="161" spans="2:10" ht="17.25" thickBot="1" x14ac:dyDescent="0.35">
      <c r="B161" s="5"/>
      <c r="C161" s="5"/>
      <c r="D161" s="5"/>
      <c r="E161" s="5" t="s">
        <v>530</v>
      </c>
      <c r="F161" s="6" t="b">
        <f t="shared" si="32"/>
        <v>0</v>
      </c>
      <c r="G161" s="6">
        <f t="shared" si="33"/>
        <v>0</v>
      </c>
      <c r="H161" s="6" t="b">
        <f t="shared" si="34"/>
        <v>0</v>
      </c>
      <c r="I161" s="6">
        <f t="shared" si="35"/>
        <v>0</v>
      </c>
      <c r="J161">
        <f t="shared" ref="J161" si="42">IF(hascolor(E157:E161,$E$6)=TRUE, 1, 0)</f>
        <v>1</v>
      </c>
    </row>
    <row r="162" spans="2:10" ht="17.25" thickBot="1" x14ac:dyDescent="0.35">
      <c r="B162" s="6" t="s">
        <v>35</v>
      </c>
      <c r="C162" s="6" t="s">
        <v>185</v>
      </c>
      <c r="D162" s="6" t="s">
        <v>326</v>
      </c>
      <c r="E162" s="13" t="s">
        <v>675</v>
      </c>
      <c r="F162" s="6" t="b">
        <f t="shared" si="32"/>
        <v>1</v>
      </c>
      <c r="G162" s="6">
        <f t="shared" si="33"/>
        <v>1</v>
      </c>
      <c r="H162" s="6" t="b">
        <f t="shared" si="34"/>
        <v>1</v>
      </c>
      <c r="I162" s="6">
        <f t="shared" si="35"/>
        <v>1</v>
      </c>
    </row>
    <row r="163" spans="2:10" ht="17.25" thickBot="1" x14ac:dyDescent="0.35">
      <c r="B163" s="4"/>
      <c r="C163" s="4" t="s">
        <v>186</v>
      </c>
      <c r="D163" s="4" t="s">
        <v>419</v>
      </c>
      <c r="E163" s="11" t="s">
        <v>676</v>
      </c>
      <c r="F163" s="6" t="b">
        <f t="shared" si="32"/>
        <v>1</v>
      </c>
      <c r="G163" s="6">
        <f t="shared" si="33"/>
        <v>1</v>
      </c>
      <c r="H163" s="6" t="b">
        <f t="shared" si="34"/>
        <v>1</v>
      </c>
      <c r="I163" s="6">
        <f t="shared" si="35"/>
        <v>1</v>
      </c>
    </row>
    <row r="164" spans="2:10" ht="17.25" thickBot="1" x14ac:dyDescent="0.35">
      <c r="B164" s="4"/>
      <c r="C164" s="4"/>
      <c r="D164" s="4"/>
      <c r="E164" t="s">
        <v>674</v>
      </c>
      <c r="F164" s="6" t="b">
        <f t="shared" si="32"/>
        <v>0</v>
      </c>
      <c r="G164" s="6">
        <f t="shared" si="33"/>
        <v>0</v>
      </c>
      <c r="H164" s="6" t="b">
        <f t="shared" si="34"/>
        <v>0</v>
      </c>
      <c r="I164" s="6">
        <f t="shared" si="35"/>
        <v>0</v>
      </c>
    </row>
    <row r="165" spans="2:10" ht="17.25" thickBot="1" x14ac:dyDescent="0.35">
      <c r="B165" s="4"/>
      <c r="C165" s="4"/>
      <c r="D165" s="4"/>
      <c r="E165" s="4" t="s">
        <v>677</v>
      </c>
      <c r="F165" s="6" t="b">
        <f t="shared" si="32"/>
        <v>0</v>
      </c>
      <c r="G165" s="6">
        <f t="shared" si="33"/>
        <v>0</v>
      </c>
      <c r="H165" s="6" t="b">
        <f t="shared" si="34"/>
        <v>0</v>
      </c>
      <c r="I165" s="6">
        <f t="shared" si="35"/>
        <v>0</v>
      </c>
    </row>
    <row r="166" spans="2:10" ht="17.25" thickBot="1" x14ac:dyDescent="0.35">
      <c r="B166" s="5"/>
      <c r="C166" s="5"/>
      <c r="D166" s="5"/>
      <c r="E166" s="5" t="s">
        <v>531</v>
      </c>
      <c r="F166" s="6" t="b">
        <f t="shared" si="32"/>
        <v>0</v>
      </c>
      <c r="G166" s="6">
        <f t="shared" si="33"/>
        <v>0</v>
      </c>
      <c r="H166" s="6" t="b">
        <f t="shared" si="34"/>
        <v>0</v>
      </c>
      <c r="I166" s="6">
        <f t="shared" si="35"/>
        <v>0</v>
      </c>
      <c r="J166">
        <f t="shared" ref="J166" si="43">IF(hascolor(E162:E166,$E$6)=TRUE, 1, 0)</f>
        <v>1</v>
      </c>
    </row>
    <row r="167" spans="2:10" ht="17.25" thickBot="1" x14ac:dyDescent="0.35">
      <c r="B167" s="6" t="s">
        <v>36</v>
      </c>
      <c r="C167" s="6" t="s">
        <v>187</v>
      </c>
      <c r="D167" s="6" t="s">
        <v>327</v>
      </c>
      <c r="E167" s="13" t="s">
        <v>678</v>
      </c>
      <c r="F167" s="6" t="b">
        <f t="shared" si="32"/>
        <v>1</v>
      </c>
      <c r="G167" s="6">
        <f t="shared" si="33"/>
        <v>1</v>
      </c>
      <c r="H167" s="6" t="b">
        <f t="shared" si="34"/>
        <v>1</v>
      </c>
      <c r="I167" s="6">
        <f t="shared" si="35"/>
        <v>1</v>
      </c>
    </row>
    <row r="168" spans="2:10" ht="17.25" thickBot="1" x14ac:dyDescent="0.35">
      <c r="B168" s="4"/>
      <c r="C168" s="4" t="s">
        <v>188</v>
      </c>
      <c r="D168" s="4" t="s">
        <v>418</v>
      </c>
      <c r="E168" s="4" t="s">
        <v>679</v>
      </c>
      <c r="F168" s="6" t="b">
        <f t="shared" si="32"/>
        <v>1</v>
      </c>
      <c r="G168" s="6">
        <f t="shared" si="33"/>
        <v>1</v>
      </c>
      <c r="H168" s="6" t="b">
        <f t="shared" si="34"/>
        <v>0</v>
      </c>
      <c r="I168" s="6">
        <f t="shared" si="35"/>
        <v>0</v>
      </c>
    </row>
    <row r="169" spans="2:10" ht="17.25" thickBot="1" x14ac:dyDescent="0.35">
      <c r="B169" s="4"/>
      <c r="C169" s="4"/>
      <c r="D169" s="4"/>
      <c r="E169" t="s">
        <v>680</v>
      </c>
      <c r="F169" s="6" t="b">
        <f t="shared" si="32"/>
        <v>0</v>
      </c>
      <c r="G169" s="6">
        <f t="shared" si="33"/>
        <v>0</v>
      </c>
      <c r="H169" s="6" t="b">
        <f t="shared" si="34"/>
        <v>0</v>
      </c>
      <c r="I169" s="6">
        <f t="shared" si="35"/>
        <v>0</v>
      </c>
    </row>
    <row r="170" spans="2:10" ht="17.25" thickBot="1" x14ac:dyDescent="0.35">
      <c r="B170" s="4"/>
      <c r="C170" s="4"/>
      <c r="D170" s="4"/>
      <c r="E170" s="4" t="s">
        <v>681</v>
      </c>
      <c r="F170" s="6" t="b">
        <f t="shared" si="32"/>
        <v>0</v>
      </c>
      <c r="G170" s="6">
        <f t="shared" si="33"/>
        <v>0</v>
      </c>
      <c r="H170" s="6" t="b">
        <f t="shared" si="34"/>
        <v>0</v>
      </c>
      <c r="I170" s="6">
        <f t="shared" si="35"/>
        <v>0</v>
      </c>
    </row>
    <row r="171" spans="2:10" ht="17.25" thickBot="1" x14ac:dyDescent="0.35">
      <c r="B171" s="5"/>
      <c r="C171" s="5"/>
      <c r="D171" s="5"/>
      <c r="E171" s="12" t="s">
        <v>532</v>
      </c>
      <c r="F171" s="6" t="b">
        <f t="shared" si="32"/>
        <v>0</v>
      </c>
      <c r="G171" s="6">
        <f t="shared" si="33"/>
        <v>0</v>
      </c>
      <c r="H171" s="6" t="b">
        <f t="shared" si="34"/>
        <v>1</v>
      </c>
      <c r="I171" s="6">
        <f t="shared" si="35"/>
        <v>1</v>
      </c>
      <c r="J171">
        <f t="shared" ref="J171" si="44">IF(hascolor(E167:E171,$E$6)=TRUE, 1, 0)</f>
        <v>1</v>
      </c>
    </row>
    <row r="172" spans="2:10" ht="17.25" thickBot="1" x14ac:dyDescent="0.35">
      <c r="B172" s="6" t="s">
        <v>37</v>
      </c>
      <c r="C172" s="6" t="s">
        <v>189</v>
      </c>
      <c r="D172" s="6" t="s">
        <v>328</v>
      </c>
      <c r="E172" s="13" t="s">
        <v>682</v>
      </c>
      <c r="F172" s="6" t="b">
        <f t="shared" si="32"/>
        <v>1</v>
      </c>
      <c r="G172" s="6">
        <f t="shared" si="33"/>
        <v>1</v>
      </c>
      <c r="H172" s="6" t="b">
        <f t="shared" si="34"/>
        <v>1</v>
      </c>
      <c r="I172" s="6">
        <f t="shared" si="35"/>
        <v>1</v>
      </c>
    </row>
    <row r="173" spans="2:10" ht="17.25" thickBot="1" x14ac:dyDescent="0.35">
      <c r="B173" s="4"/>
      <c r="C173" s="4" t="s">
        <v>190</v>
      </c>
      <c r="D173" s="4" t="s">
        <v>417</v>
      </c>
      <c r="E173" s="11" t="s">
        <v>683</v>
      </c>
      <c r="F173" s="6" t="b">
        <f t="shared" si="32"/>
        <v>1</v>
      </c>
      <c r="G173" s="6">
        <f t="shared" si="33"/>
        <v>1</v>
      </c>
      <c r="H173" s="6" t="b">
        <f t="shared" si="34"/>
        <v>1</v>
      </c>
      <c r="I173" s="6">
        <f t="shared" si="35"/>
        <v>1</v>
      </c>
    </row>
    <row r="174" spans="2:10" ht="17.25" thickBot="1" x14ac:dyDescent="0.35">
      <c r="B174" s="4"/>
      <c r="C174" s="4"/>
      <c r="D174" s="4"/>
      <c r="E174" t="s">
        <v>684</v>
      </c>
      <c r="F174" s="6" t="b">
        <f t="shared" si="32"/>
        <v>0</v>
      </c>
      <c r="G174" s="6">
        <f t="shared" si="33"/>
        <v>0</v>
      </c>
      <c r="H174" s="6" t="b">
        <f t="shared" si="34"/>
        <v>0</v>
      </c>
      <c r="I174" s="6">
        <f t="shared" si="35"/>
        <v>0</v>
      </c>
    </row>
    <row r="175" spans="2:10" ht="17.25" thickBot="1" x14ac:dyDescent="0.35">
      <c r="B175" s="4"/>
      <c r="C175" s="4"/>
      <c r="D175" s="4"/>
      <c r="E175" s="4" t="s">
        <v>685</v>
      </c>
      <c r="F175" s="6" t="b">
        <f t="shared" si="32"/>
        <v>0</v>
      </c>
      <c r="G175" s="6">
        <f t="shared" si="33"/>
        <v>0</v>
      </c>
      <c r="H175" s="6" t="b">
        <f t="shared" si="34"/>
        <v>0</v>
      </c>
      <c r="I175" s="6">
        <f t="shared" si="35"/>
        <v>0</v>
      </c>
    </row>
    <row r="176" spans="2:10" ht="17.25" thickBot="1" x14ac:dyDescent="0.35">
      <c r="B176" s="5"/>
      <c r="C176" s="5"/>
      <c r="D176" s="5"/>
      <c r="E176" s="5" t="s">
        <v>534</v>
      </c>
      <c r="F176" s="6" t="b">
        <f t="shared" si="32"/>
        <v>0</v>
      </c>
      <c r="G176" s="6">
        <f t="shared" si="33"/>
        <v>0</v>
      </c>
      <c r="H176" s="6" t="b">
        <f t="shared" si="34"/>
        <v>0</v>
      </c>
      <c r="I176" s="6">
        <f t="shared" si="35"/>
        <v>0</v>
      </c>
      <c r="J176">
        <f t="shared" ref="J176" si="45">IF(hascolor(E172:E176,$E$6)=TRUE, 1, 0)</f>
        <v>1</v>
      </c>
    </row>
    <row r="177" spans="2:10" ht="17.25" thickBot="1" x14ac:dyDescent="0.35">
      <c r="B177" s="6" t="s">
        <v>38</v>
      </c>
      <c r="C177" s="6" t="s">
        <v>191</v>
      </c>
      <c r="D177" s="6" t="s">
        <v>329</v>
      </c>
      <c r="E177" s="13" t="s">
        <v>685</v>
      </c>
      <c r="F177" s="6" t="b">
        <f t="shared" si="32"/>
        <v>1</v>
      </c>
      <c r="G177" s="6">
        <f t="shared" si="33"/>
        <v>1</v>
      </c>
      <c r="H177" s="6" t="b">
        <f t="shared" si="34"/>
        <v>1</v>
      </c>
      <c r="I177" s="6">
        <f t="shared" si="35"/>
        <v>1</v>
      </c>
    </row>
    <row r="178" spans="2:10" ht="17.25" thickBot="1" x14ac:dyDescent="0.35">
      <c r="B178" s="4"/>
      <c r="C178" s="4" t="s">
        <v>192</v>
      </c>
      <c r="D178" s="4" t="s">
        <v>416</v>
      </c>
      <c r="E178" s="11" t="s">
        <v>686</v>
      </c>
      <c r="F178" s="6" t="b">
        <f t="shared" si="32"/>
        <v>1</v>
      </c>
      <c r="G178" s="6">
        <f t="shared" si="33"/>
        <v>1</v>
      </c>
      <c r="H178" s="6" t="b">
        <f t="shared" si="34"/>
        <v>1</v>
      </c>
      <c r="I178" s="6">
        <f t="shared" si="35"/>
        <v>1</v>
      </c>
    </row>
    <row r="179" spans="2:10" ht="17.25" thickBot="1" x14ac:dyDescent="0.35">
      <c r="B179" s="4"/>
      <c r="C179" s="4"/>
      <c r="D179" s="4"/>
      <c r="E179" t="s">
        <v>687</v>
      </c>
      <c r="F179" s="6" t="b">
        <f t="shared" si="32"/>
        <v>0</v>
      </c>
      <c r="G179" s="6">
        <f t="shared" si="33"/>
        <v>0</v>
      </c>
      <c r="H179" s="6" t="b">
        <f t="shared" si="34"/>
        <v>0</v>
      </c>
      <c r="I179" s="6">
        <f t="shared" si="35"/>
        <v>0</v>
      </c>
    </row>
    <row r="180" spans="2:10" ht="17.25" thickBot="1" x14ac:dyDescent="0.35">
      <c r="B180" s="4"/>
      <c r="C180" s="4"/>
      <c r="D180" s="4"/>
      <c r="E180" s="4" t="s">
        <v>682</v>
      </c>
      <c r="F180" s="6" t="b">
        <f t="shared" si="32"/>
        <v>0</v>
      </c>
      <c r="G180" s="6">
        <f t="shared" si="33"/>
        <v>0</v>
      </c>
      <c r="H180" s="6" t="b">
        <f t="shared" si="34"/>
        <v>0</v>
      </c>
      <c r="I180" s="6">
        <f t="shared" si="35"/>
        <v>0</v>
      </c>
    </row>
    <row r="181" spans="2:10" ht="17.25" thickBot="1" x14ac:dyDescent="0.35">
      <c r="B181" s="5"/>
      <c r="C181" s="5"/>
      <c r="D181" s="5"/>
      <c r="E181" s="5" t="s">
        <v>533</v>
      </c>
      <c r="F181" s="6" t="b">
        <f t="shared" si="32"/>
        <v>0</v>
      </c>
      <c r="G181" s="6">
        <f t="shared" si="33"/>
        <v>0</v>
      </c>
      <c r="H181" s="6" t="b">
        <f t="shared" si="34"/>
        <v>0</v>
      </c>
      <c r="I181" s="6">
        <f t="shared" si="35"/>
        <v>0</v>
      </c>
      <c r="J181">
        <f t="shared" ref="J181" si="46">IF(hascolor(E177:E181,$E$6)=TRUE, 1, 0)</f>
        <v>1</v>
      </c>
    </row>
    <row r="182" spans="2:10" ht="17.25" thickBot="1" x14ac:dyDescent="0.35">
      <c r="B182" s="6" t="s">
        <v>39</v>
      </c>
      <c r="C182" s="6" t="s">
        <v>193</v>
      </c>
      <c r="D182" s="6" t="s">
        <v>330</v>
      </c>
      <c r="E182" s="13" t="s">
        <v>674</v>
      </c>
      <c r="F182" s="6" t="b">
        <f t="shared" si="32"/>
        <v>1</v>
      </c>
      <c r="G182" s="6">
        <f t="shared" si="33"/>
        <v>1</v>
      </c>
      <c r="H182" s="6" t="b">
        <f t="shared" si="34"/>
        <v>1</v>
      </c>
      <c r="I182" s="6">
        <f t="shared" si="35"/>
        <v>1</v>
      </c>
    </row>
    <row r="183" spans="2:10" ht="17.25" thickBot="1" x14ac:dyDescent="0.35">
      <c r="B183" s="4"/>
      <c r="C183" s="4" t="s">
        <v>877</v>
      </c>
      <c r="D183" s="4" t="s">
        <v>415</v>
      </c>
      <c r="E183" s="11" t="s">
        <v>688</v>
      </c>
      <c r="F183" s="6" t="b">
        <f t="shared" si="32"/>
        <v>1</v>
      </c>
      <c r="G183" s="6">
        <f t="shared" si="33"/>
        <v>1</v>
      </c>
      <c r="H183" s="6" t="b">
        <f t="shared" si="34"/>
        <v>1</v>
      </c>
      <c r="I183" s="6">
        <f t="shared" si="35"/>
        <v>1</v>
      </c>
    </row>
    <row r="184" spans="2:10" ht="17.25" thickBot="1" x14ac:dyDescent="0.35">
      <c r="B184" s="4"/>
      <c r="C184" s="4"/>
      <c r="D184" s="4"/>
      <c r="E184" t="s">
        <v>689</v>
      </c>
      <c r="F184" s="6" t="b">
        <f t="shared" si="32"/>
        <v>0</v>
      </c>
      <c r="G184" s="6">
        <f t="shared" si="33"/>
        <v>0</v>
      </c>
      <c r="H184" s="6" t="b">
        <f t="shared" si="34"/>
        <v>0</v>
      </c>
      <c r="I184" s="6">
        <f t="shared" si="35"/>
        <v>0</v>
      </c>
    </row>
    <row r="185" spans="2:10" ht="17.25" thickBot="1" x14ac:dyDescent="0.35">
      <c r="B185" s="4"/>
      <c r="C185" s="4"/>
      <c r="D185" s="4"/>
      <c r="E185" s="4" t="s">
        <v>671</v>
      </c>
      <c r="F185" s="6" t="b">
        <f t="shared" si="32"/>
        <v>0</v>
      </c>
      <c r="G185" s="6">
        <f t="shared" si="33"/>
        <v>0</v>
      </c>
      <c r="H185" s="6" t="b">
        <f t="shared" si="34"/>
        <v>0</v>
      </c>
      <c r="I185" s="6">
        <f t="shared" si="35"/>
        <v>0</v>
      </c>
    </row>
    <row r="186" spans="2:10" ht="17.25" thickBot="1" x14ac:dyDescent="0.35">
      <c r="B186" s="5"/>
      <c r="C186" s="5"/>
      <c r="D186" s="5"/>
      <c r="E186" s="5" t="s">
        <v>528</v>
      </c>
      <c r="F186" s="6" t="b">
        <f t="shared" si="32"/>
        <v>0</v>
      </c>
      <c r="G186" s="6">
        <f t="shared" si="33"/>
        <v>0</v>
      </c>
      <c r="H186" s="6" t="b">
        <f t="shared" si="34"/>
        <v>0</v>
      </c>
      <c r="I186" s="6">
        <f t="shared" si="35"/>
        <v>0</v>
      </c>
      <c r="J186">
        <f t="shared" ref="J186" si="47">IF(hascolor(E182:E186,$E$6)=TRUE, 1, 0)</f>
        <v>1</v>
      </c>
    </row>
    <row r="187" spans="2:10" ht="17.25" thickBot="1" x14ac:dyDescent="0.35">
      <c r="B187" s="6" t="s">
        <v>106</v>
      </c>
      <c r="C187" s="6" t="s">
        <v>194</v>
      </c>
      <c r="D187" s="6" t="s">
        <v>331</v>
      </c>
      <c r="E187" s="13" t="s">
        <v>690</v>
      </c>
      <c r="F187" s="6" t="b">
        <f t="shared" si="32"/>
        <v>1</v>
      </c>
      <c r="G187" s="6">
        <f t="shared" si="33"/>
        <v>1</v>
      </c>
      <c r="H187" s="6" t="b">
        <f t="shared" si="34"/>
        <v>1</v>
      </c>
      <c r="I187" s="6">
        <f t="shared" si="35"/>
        <v>1</v>
      </c>
    </row>
    <row r="188" spans="2:10" ht="17.25" thickBot="1" x14ac:dyDescent="0.35">
      <c r="B188" s="4"/>
      <c r="C188" s="4" t="s">
        <v>195</v>
      </c>
      <c r="D188" s="4" t="s">
        <v>414</v>
      </c>
      <c r="E188" s="4" t="s">
        <v>691</v>
      </c>
      <c r="F188" s="6" t="b">
        <f t="shared" si="32"/>
        <v>1</v>
      </c>
      <c r="G188" s="6">
        <f t="shared" si="33"/>
        <v>1</v>
      </c>
      <c r="H188" s="6" t="b">
        <f t="shared" si="34"/>
        <v>0</v>
      </c>
      <c r="I188" s="6">
        <f t="shared" si="35"/>
        <v>0</v>
      </c>
    </row>
    <row r="189" spans="2:10" ht="17.25" thickBot="1" x14ac:dyDescent="0.35">
      <c r="B189" s="4"/>
      <c r="C189" s="4"/>
      <c r="D189" s="4"/>
      <c r="E189" t="s">
        <v>692</v>
      </c>
      <c r="F189" s="6" t="b">
        <f t="shared" si="32"/>
        <v>0</v>
      </c>
      <c r="G189" s="6">
        <f t="shared" si="33"/>
        <v>0</v>
      </c>
      <c r="H189" s="6" t="b">
        <f t="shared" si="34"/>
        <v>0</v>
      </c>
      <c r="I189" s="6">
        <f t="shared" si="35"/>
        <v>0</v>
      </c>
    </row>
    <row r="190" spans="2:10" ht="17.25" thickBot="1" x14ac:dyDescent="0.35">
      <c r="B190" s="4"/>
      <c r="C190" s="4"/>
      <c r="D190" s="4"/>
      <c r="E190" s="4" t="s">
        <v>693</v>
      </c>
      <c r="F190" s="6" t="b">
        <f t="shared" si="32"/>
        <v>0</v>
      </c>
      <c r="G190" s="6">
        <f t="shared" si="33"/>
        <v>0</v>
      </c>
      <c r="H190" s="6" t="b">
        <f t="shared" si="34"/>
        <v>0</v>
      </c>
      <c r="I190" s="6">
        <f t="shared" si="35"/>
        <v>0</v>
      </c>
    </row>
    <row r="191" spans="2:10" ht="17.25" thickBot="1" x14ac:dyDescent="0.35">
      <c r="B191" s="5"/>
      <c r="C191" s="5"/>
      <c r="D191" s="5"/>
      <c r="E191" s="5" t="s">
        <v>535</v>
      </c>
      <c r="F191" s="6" t="b">
        <f t="shared" si="32"/>
        <v>0</v>
      </c>
      <c r="G191" s="6">
        <f t="shared" si="33"/>
        <v>0</v>
      </c>
      <c r="H191" s="6" t="b">
        <f t="shared" si="34"/>
        <v>0</v>
      </c>
      <c r="I191" s="6">
        <f t="shared" si="35"/>
        <v>0</v>
      </c>
      <c r="J191">
        <f t="shared" ref="J191" si="48">IF(hascolor(E187:E191,$E$6)=TRUE, 1, 0)</f>
        <v>1</v>
      </c>
    </row>
    <row r="192" spans="2:10" ht="17.25" thickBot="1" x14ac:dyDescent="0.35">
      <c r="B192" s="6" t="s">
        <v>40</v>
      </c>
      <c r="C192" s="6" t="s">
        <v>196</v>
      </c>
      <c r="D192" s="6" t="s">
        <v>332</v>
      </c>
      <c r="E192" s="13" t="s">
        <v>694</v>
      </c>
      <c r="F192" s="6" t="b">
        <f t="shared" si="32"/>
        <v>1</v>
      </c>
      <c r="G192" s="6">
        <f t="shared" si="33"/>
        <v>1</v>
      </c>
      <c r="H192" s="6" t="b">
        <f t="shared" si="34"/>
        <v>1</v>
      </c>
      <c r="I192" s="6">
        <f t="shared" si="35"/>
        <v>1</v>
      </c>
    </row>
    <row r="193" spans="1:11" ht="17.25" thickBot="1" x14ac:dyDescent="0.35">
      <c r="B193" s="4"/>
      <c r="C193" s="4" t="s">
        <v>197</v>
      </c>
      <c r="D193" s="4" t="s">
        <v>878</v>
      </c>
      <c r="E193" s="11" t="s">
        <v>695</v>
      </c>
      <c r="F193" s="6" t="b">
        <f t="shared" si="32"/>
        <v>1</v>
      </c>
      <c r="G193" s="6">
        <f t="shared" si="33"/>
        <v>1</v>
      </c>
      <c r="H193" s="6" t="b">
        <f t="shared" si="34"/>
        <v>1</v>
      </c>
      <c r="I193" s="6">
        <f t="shared" si="35"/>
        <v>1</v>
      </c>
    </row>
    <row r="194" spans="1:11" ht="17.25" thickBot="1" x14ac:dyDescent="0.35">
      <c r="B194" s="4"/>
      <c r="C194" s="4" t="s">
        <v>198</v>
      </c>
      <c r="E194" t="s">
        <v>696</v>
      </c>
      <c r="F194" s="6" t="b">
        <f t="shared" si="32"/>
        <v>0</v>
      </c>
      <c r="G194" s="6">
        <f t="shared" si="33"/>
        <v>0</v>
      </c>
      <c r="H194" s="6" t="b">
        <f t="shared" si="34"/>
        <v>0</v>
      </c>
      <c r="I194" s="6">
        <f t="shared" si="35"/>
        <v>0</v>
      </c>
    </row>
    <row r="195" spans="1:11" ht="17.25" thickBot="1" x14ac:dyDescent="0.35">
      <c r="B195" s="4"/>
      <c r="C195" s="4"/>
      <c r="D195" s="4"/>
      <c r="E195" s="4" t="s">
        <v>697</v>
      </c>
      <c r="F195" s="6" t="b">
        <f t="shared" ref="F195:F258" si="49">NOT(ISBLANK(D195))</f>
        <v>0</v>
      </c>
      <c r="G195" s="6">
        <f t="shared" ref="G195:G258" si="50">IF(F195=TRUE, 1, 0)</f>
        <v>0</v>
      </c>
      <c r="H195" s="6" t="b">
        <f t="shared" ref="H195:H258" si="51">hascolor(E195,$E$6)</f>
        <v>0</v>
      </c>
      <c r="I195" s="6">
        <f t="shared" ref="I195:I258" si="52">IF(H195, 1, 0)</f>
        <v>0</v>
      </c>
    </row>
    <row r="196" spans="1:11" ht="17.25" thickBot="1" x14ac:dyDescent="0.35">
      <c r="B196" s="5"/>
      <c r="C196" s="5"/>
      <c r="D196" s="5"/>
      <c r="E196" s="5" t="s">
        <v>536</v>
      </c>
      <c r="F196" s="6" t="b">
        <f t="shared" si="49"/>
        <v>0</v>
      </c>
      <c r="G196" s="6">
        <f t="shared" si="50"/>
        <v>0</v>
      </c>
      <c r="H196" s="6" t="b">
        <f t="shared" si="51"/>
        <v>0</v>
      </c>
      <c r="I196" s="6">
        <f t="shared" si="52"/>
        <v>0</v>
      </c>
      <c r="J196">
        <f t="shared" ref="J196" si="53">IF(hascolor(E192:E196,$E$6)=TRUE, 1, 0)</f>
        <v>1</v>
      </c>
    </row>
    <row r="197" spans="1:11" ht="17.25" thickBot="1" x14ac:dyDescent="0.35">
      <c r="B197" s="6" t="s">
        <v>41</v>
      </c>
      <c r="C197" s="6" t="s">
        <v>181</v>
      </c>
      <c r="D197" s="6" t="s">
        <v>324</v>
      </c>
      <c r="E197" s="13" t="s">
        <v>698</v>
      </c>
      <c r="F197" s="6" t="b">
        <f t="shared" si="49"/>
        <v>1</v>
      </c>
      <c r="G197" s="6">
        <f t="shared" si="50"/>
        <v>1</v>
      </c>
      <c r="H197" s="6" t="b">
        <f t="shared" si="51"/>
        <v>1</v>
      </c>
      <c r="I197" s="6">
        <f t="shared" si="52"/>
        <v>1</v>
      </c>
    </row>
    <row r="198" spans="1:11" ht="17.25" thickBot="1" x14ac:dyDescent="0.35">
      <c r="B198" s="4"/>
      <c r="C198" s="4" t="s">
        <v>199</v>
      </c>
      <c r="D198" s="4" t="s">
        <v>879</v>
      </c>
      <c r="E198" s="4" t="s">
        <v>699</v>
      </c>
      <c r="F198" s="6" t="b">
        <f t="shared" si="49"/>
        <v>1</v>
      </c>
      <c r="G198" s="6">
        <f t="shared" si="50"/>
        <v>1</v>
      </c>
      <c r="H198" s="6" t="b">
        <f t="shared" si="51"/>
        <v>0</v>
      </c>
      <c r="I198" s="6">
        <f t="shared" si="52"/>
        <v>0</v>
      </c>
    </row>
    <row r="199" spans="1:11" ht="17.25" thickBot="1" x14ac:dyDescent="0.35">
      <c r="B199" s="4"/>
      <c r="C199" s="4" t="s">
        <v>200</v>
      </c>
      <c r="D199" s="4"/>
      <c r="E199" t="s">
        <v>678</v>
      </c>
      <c r="F199" s="6" t="b">
        <f t="shared" si="49"/>
        <v>0</v>
      </c>
      <c r="G199" s="6">
        <f t="shared" si="50"/>
        <v>0</v>
      </c>
      <c r="H199" s="6" t="b">
        <f t="shared" si="51"/>
        <v>0</v>
      </c>
      <c r="I199" s="6">
        <f t="shared" si="52"/>
        <v>0</v>
      </c>
    </row>
    <row r="200" spans="1:11" ht="17.25" thickBot="1" x14ac:dyDescent="0.35">
      <c r="B200" s="4"/>
      <c r="C200" s="4" t="s">
        <v>201</v>
      </c>
      <c r="E200" s="4" t="s">
        <v>681</v>
      </c>
      <c r="F200" s="6" t="b">
        <f t="shared" si="49"/>
        <v>0</v>
      </c>
      <c r="G200" s="6">
        <f t="shared" si="50"/>
        <v>0</v>
      </c>
      <c r="H200" s="6" t="b">
        <f t="shared" si="51"/>
        <v>0</v>
      </c>
      <c r="I200" s="6">
        <f t="shared" si="52"/>
        <v>0</v>
      </c>
    </row>
    <row r="201" spans="1:11" ht="17.25" thickBot="1" x14ac:dyDescent="0.35">
      <c r="B201" s="5"/>
      <c r="C201" s="5"/>
      <c r="D201" s="5"/>
      <c r="E201" s="5" t="s">
        <v>537</v>
      </c>
      <c r="F201" s="6" t="b">
        <f t="shared" si="49"/>
        <v>0</v>
      </c>
      <c r="G201" s="6">
        <f t="shared" si="50"/>
        <v>0</v>
      </c>
      <c r="H201" s="6" t="b">
        <f t="shared" si="51"/>
        <v>0</v>
      </c>
      <c r="I201" s="6">
        <f t="shared" si="52"/>
        <v>0</v>
      </c>
      <c r="J201">
        <f t="shared" ref="J201" si="54">IF(hascolor(E197:E201,$E$6)=TRUE, 1, 0)</f>
        <v>1</v>
      </c>
      <c r="K201">
        <f>SUM(J152:J201)</f>
        <v>10</v>
      </c>
    </row>
    <row r="202" spans="1:11" ht="17.25" thickBot="1" x14ac:dyDescent="0.35">
      <c r="A202" s="2" t="s">
        <v>112</v>
      </c>
      <c r="B202" s="6" t="s">
        <v>42</v>
      </c>
      <c r="C202" s="6" t="s">
        <v>202</v>
      </c>
      <c r="D202" s="6" t="s">
        <v>202</v>
      </c>
      <c r="E202" s="13" t="s">
        <v>700</v>
      </c>
      <c r="F202" s="6" t="b">
        <f t="shared" si="49"/>
        <v>1</v>
      </c>
      <c r="G202" s="6">
        <f t="shared" si="50"/>
        <v>1</v>
      </c>
      <c r="H202" s="6" t="b">
        <f t="shared" si="51"/>
        <v>1</v>
      </c>
      <c r="I202" s="6">
        <f t="shared" si="52"/>
        <v>1</v>
      </c>
    </row>
    <row r="203" spans="1:11" ht="17.25" thickBot="1" x14ac:dyDescent="0.35">
      <c r="B203" s="4"/>
      <c r="C203" s="4"/>
      <c r="D203" s="4"/>
      <c r="E203" s="4" t="s">
        <v>701</v>
      </c>
      <c r="F203" s="6" t="b">
        <f t="shared" si="49"/>
        <v>0</v>
      </c>
      <c r="G203" s="6">
        <f t="shared" si="50"/>
        <v>0</v>
      </c>
      <c r="H203" s="6" t="b">
        <f t="shared" si="51"/>
        <v>0</v>
      </c>
      <c r="I203" s="6">
        <f t="shared" si="52"/>
        <v>0</v>
      </c>
    </row>
    <row r="204" spans="1:11" ht="17.25" thickBot="1" x14ac:dyDescent="0.35">
      <c r="B204" s="4"/>
      <c r="C204" s="4"/>
      <c r="D204" s="4"/>
      <c r="E204" t="s">
        <v>702</v>
      </c>
      <c r="F204" s="6" t="b">
        <f t="shared" si="49"/>
        <v>0</v>
      </c>
      <c r="G204" s="6">
        <f t="shared" si="50"/>
        <v>0</v>
      </c>
      <c r="H204" s="6" t="b">
        <f t="shared" si="51"/>
        <v>0</v>
      </c>
      <c r="I204" s="6">
        <f t="shared" si="52"/>
        <v>0</v>
      </c>
    </row>
    <row r="205" spans="1:11" ht="17.25" thickBot="1" x14ac:dyDescent="0.35">
      <c r="B205" s="4"/>
      <c r="C205" s="4"/>
      <c r="D205" s="4"/>
      <c r="E205" s="4" t="s">
        <v>703</v>
      </c>
      <c r="F205" s="6" t="b">
        <f t="shared" si="49"/>
        <v>0</v>
      </c>
      <c r="G205" s="6">
        <f t="shared" si="50"/>
        <v>0</v>
      </c>
      <c r="H205" s="6" t="b">
        <f t="shared" si="51"/>
        <v>0</v>
      </c>
      <c r="I205" s="6">
        <f t="shared" si="52"/>
        <v>0</v>
      </c>
    </row>
    <row r="206" spans="1:11" ht="17.25" thickBot="1" x14ac:dyDescent="0.35">
      <c r="B206" s="5"/>
      <c r="C206" s="5"/>
      <c r="D206" s="5"/>
      <c r="E206" s="5" t="s">
        <v>471</v>
      </c>
      <c r="F206" s="6" t="b">
        <f t="shared" si="49"/>
        <v>0</v>
      </c>
      <c r="G206" s="6">
        <f t="shared" si="50"/>
        <v>0</v>
      </c>
      <c r="H206" s="6" t="b">
        <f t="shared" si="51"/>
        <v>0</v>
      </c>
      <c r="I206" s="6">
        <f t="shared" si="52"/>
        <v>0</v>
      </c>
      <c r="J206">
        <f t="shared" ref="J206" si="55">IF(hascolor(E202:E206,$E$6)=TRUE, 1, 0)</f>
        <v>1</v>
      </c>
    </row>
    <row r="207" spans="1:11" ht="17.25" thickBot="1" x14ac:dyDescent="0.35">
      <c r="B207" s="6" t="s">
        <v>43</v>
      </c>
      <c r="C207" s="6" t="s">
        <v>203</v>
      </c>
      <c r="D207" s="6" t="s">
        <v>333</v>
      </c>
      <c r="E207" s="6" t="s">
        <v>704</v>
      </c>
      <c r="F207" s="6" t="b">
        <f t="shared" si="49"/>
        <v>1</v>
      </c>
      <c r="G207" s="6">
        <f t="shared" si="50"/>
        <v>1</v>
      </c>
      <c r="H207" s="6" t="b">
        <f t="shared" si="51"/>
        <v>0</v>
      </c>
      <c r="I207" s="6">
        <f t="shared" si="52"/>
        <v>0</v>
      </c>
    </row>
    <row r="208" spans="1:11" ht="17.25" thickBot="1" x14ac:dyDescent="0.35">
      <c r="B208" s="4"/>
      <c r="C208" s="4"/>
      <c r="D208" s="4"/>
      <c r="E208" s="11" t="s">
        <v>705</v>
      </c>
      <c r="F208" s="6" t="b">
        <f t="shared" si="49"/>
        <v>0</v>
      </c>
      <c r="G208" s="6">
        <f t="shared" si="50"/>
        <v>0</v>
      </c>
      <c r="H208" s="6" t="b">
        <f t="shared" si="51"/>
        <v>1</v>
      </c>
      <c r="I208" s="6">
        <f t="shared" si="52"/>
        <v>1</v>
      </c>
    </row>
    <row r="209" spans="2:10" ht="17.25" thickBot="1" x14ac:dyDescent="0.35">
      <c r="B209" s="4"/>
      <c r="C209" s="4"/>
      <c r="D209" s="4"/>
      <c r="E209" t="s">
        <v>706</v>
      </c>
      <c r="F209" s="6" t="b">
        <f t="shared" si="49"/>
        <v>0</v>
      </c>
      <c r="G209" s="6">
        <f t="shared" si="50"/>
        <v>0</v>
      </c>
      <c r="H209" s="6" t="b">
        <f t="shared" si="51"/>
        <v>0</v>
      </c>
      <c r="I209" s="6">
        <f t="shared" si="52"/>
        <v>0</v>
      </c>
    </row>
    <row r="210" spans="2:10" ht="17.25" thickBot="1" x14ac:dyDescent="0.35">
      <c r="B210" s="4"/>
      <c r="C210" s="4"/>
      <c r="D210" s="4"/>
      <c r="E210" s="4" t="s">
        <v>707</v>
      </c>
      <c r="F210" s="6" t="b">
        <f t="shared" si="49"/>
        <v>0</v>
      </c>
      <c r="G210" s="6">
        <f t="shared" si="50"/>
        <v>0</v>
      </c>
      <c r="H210" s="6" t="b">
        <f t="shared" si="51"/>
        <v>0</v>
      </c>
      <c r="I210" s="6">
        <f t="shared" si="52"/>
        <v>0</v>
      </c>
    </row>
    <row r="211" spans="2:10" ht="17.25" thickBot="1" x14ac:dyDescent="0.35">
      <c r="B211" s="5"/>
      <c r="C211" s="5"/>
      <c r="D211" s="5"/>
      <c r="E211" s="5" t="s">
        <v>16</v>
      </c>
      <c r="F211" s="6" t="b">
        <f t="shared" si="49"/>
        <v>0</v>
      </c>
      <c r="G211" s="6">
        <f t="shared" si="50"/>
        <v>0</v>
      </c>
      <c r="H211" s="6" t="b">
        <f t="shared" si="51"/>
        <v>0</v>
      </c>
      <c r="I211" s="6">
        <f t="shared" si="52"/>
        <v>0</v>
      </c>
      <c r="J211">
        <f t="shared" ref="J211" si="56">IF(hascolor(E207:E211,$E$6)=TRUE, 1, 0)</f>
        <v>1</v>
      </c>
    </row>
    <row r="212" spans="2:10" ht="17.25" thickBot="1" x14ac:dyDescent="0.35">
      <c r="B212" s="6" t="s">
        <v>44</v>
      </c>
      <c r="C212" s="6" t="s">
        <v>204</v>
      </c>
      <c r="D212" s="6" t="s">
        <v>334</v>
      </c>
      <c r="E212" s="13" t="s">
        <v>708</v>
      </c>
      <c r="F212" s="6" t="b">
        <f t="shared" si="49"/>
        <v>1</v>
      </c>
      <c r="G212" s="6">
        <f t="shared" si="50"/>
        <v>1</v>
      </c>
      <c r="H212" s="6" t="b">
        <f t="shared" si="51"/>
        <v>1</v>
      </c>
      <c r="I212" s="6">
        <f t="shared" si="52"/>
        <v>1</v>
      </c>
    </row>
    <row r="213" spans="2:10" ht="17.25" thickBot="1" x14ac:dyDescent="0.35">
      <c r="B213" s="4"/>
      <c r="C213" s="4"/>
      <c r="D213" s="4"/>
      <c r="E213" s="4" t="s">
        <v>709</v>
      </c>
      <c r="F213" s="6" t="b">
        <f t="shared" si="49"/>
        <v>0</v>
      </c>
      <c r="G213" s="6">
        <f t="shared" si="50"/>
        <v>0</v>
      </c>
      <c r="H213" s="6" t="b">
        <f t="shared" si="51"/>
        <v>0</v>
      </c>
      <c r="I213" s="6">
        <f t="shared" si="52"/>
        <v>0</v>
      </c>
    </row>
    <row r="214" spans="2:10" ht="17.25" thickBot="1" x14ac:dyDescent="0.35">
      <c r="B214" s="4"/>
      <c r="C214" s="4"/>
      <c r="D214" s="4"/>
      <c r="E214" t="s">
        <v>710</v>
      </c>
      <c r="F214" s="6" t="b">
        <f t="shared" si="49"/>
        <v>0</v>
      </c>
      <c r="G214" s="6">
        <f t="shared" si="50"/>
        <v>0</v>
      </c>
      <c r="H214" s="6" t="b">
        <f t="shared" si="51"/>
        <v>0</v>
      </c>
      <c r="I214" s="6">
        <f t="shared" si="52"/>
        <v>0</v>
      </c>
    </row>
    <row r="215" spans="2:10" ht="17.25" thickBot="1" x14ac:dyDescent="0.35">
      <c r="B215" s="4"/>
      <c r="C215" s="4"/>
      <c r="D215" s="4"/>
      <c r="E215" s="4" t="s">
        <v>711</v>
      </c>
      <c r="F215" s="6" t="b">
        <f t="shared" si="49"/>
        <v>0</v>
      </c>
      <c r="G215" s="6">
        <f t="shared" si="50"/>
        <v>0</v>
      </c>
      <c r="H215" s="6" t="b">
        <f t="shared" si="51"/>
        <v>0</v>
      </c>
      <c r="I215" s="6">
        <f t="shared" si="52"/>
        <v>0</v>
      </c>
    </row>
    <row r="216" spans="2:10" ht="17.25" thickBot="1" x14ac:dyDescent="0.35">
      <c r="B216" s="5"/>
      <c r="C216" s="5"/>
      <c r="D216" s="5"/>
      <c r="E216" s="5" t="s">
        <v>489</v>
      </c>
      <c r="F216" s="6" t="b">
        <f t="shared" si="49"/>
        <v>0</v>
      </c>
      <c r="G216" s="6">
        <f t="shared" si="50"/>
        <v>0</v>
      </c>
      <c r="H216" s="6" t="b">
        <f t="shared" si="51"/>
        <v>0</v>
      </c>
      <c r="I216" s="6">
        <f t="shared" si="52"/>
        <v>0</v>
      </c>
      <c r="J216">
        <f t="shared" ref="J216" si="57">IF(hascolor(E212:E216,$E$6)=TRUE, 1, 0)</f>
        <v>1</v>
      </c>
    </row>
    <row r="217" spans="2:10" ht="17.25" thickBot="1" x14ac:dyDescent="0.35">
      <c r="B217" s="6" t="s">
        <v>45</v>
      </c>
      <c r="C217" s="6" t="s">
        <v>205</v>
      </c>
      <c r="D217" s="6" t="s">
        <v>335</v>
      </c>
      <c r="E217" s="6" t="s">
        <v>712</v>
      </c>
      <c r="F217" s="6" t="b">
        <f t="shared" si="49"/>
        <v>1</v>
      </c>
      <c r="G217" s="6">
        <f t="shared" si="50"/>
        <v>1</v>
      </c>
      <c r="H217" s="6" t="b">
        <f t="shared" si="51"/>
        <v>0</v>
      </c>
      <c r="I217" s="6">
        <f t="shared" si="52"/>
        <v>0</v>
      </c>
    </row>
    <row r="218" spans="2:10" ht="17.25" thickBot="1" x14ac:dyDescent="0.35">
      <c r="B218" s="4"/>
      <c r="C218" s="4" t="s">
        <v>206</v>
      </c>
      <c r="D218" s="4" t="s">
        <v>336</v>
      </c>
      <c r="E218" s="11" t="s">
        <v>703</v>
      </c>
      <c r="F218" s="6" t="b">
        <f t="shared" si="49"/>
        <v>1</v>
      </c>
      <c r="G218" s="6">
        <f t="shared" si="50"/>
        <v>1</v>
      </c>
      <c r="H218" s="6" t="b">
        <f t="shared" si="51"/>
        <v>1</v>
      </c>
      <c r="I218" s="6">
        <f t="shared" si="52"/>
        <v>1</v>
      </c>
    </row>
    <row r="219" spans="2:10" ht="17.25" thickBot="1" x14ac:dyDescent="0.35">
      <c r="B219" s="4"/>
      <c r="C219" s="4"/>
      <c r="D219" s="4"/>
      <c r="E219" t="s">
        <v>713</v>
      </c>
      <c r="F219" s="6" t="b">
        <f t="shared" si="49"/>
        <v>0</v>
      </c>
      <c r="G219" s="6">
        <f t="shared" si="50"/>
        <v>0</v>
      </c>
      <c r="H219" s="6" t="b">
        <f t="shared" si="51"/>
        <v>0</v>
      </c>
      <c r="I219" s="6">
        <f t="shared" si="52"/>
        <v>0</v>
      </c>
    </row>
    <row r="220" spans="2:10" ht="17.25" thickBot="1" x14ac:dyDescent="0.35">
      <c r="B220" s="4"/>
      <c r="C220" s="4"/>
      <c r="D220" s="4"/>
      <c r="E220" s="4" t="s">
        <v>714</v>
      </c>
      <c r="F220" s="6" t="b">
        <f t="shared" si="49"/>
        <v>0</v>
      </c>
      <c r="G220" s="6">
        <f t="shared" si="50"/>
        <v>0</v>
      </c>
      <c r="H220" s="6" t="b">
        <f t="shared" si="51"/>
        <v>0</v>
      </c>
      <c r="I220" s="6">
        <f t="shared" si="52"/>
        <v>0</v>
      </c>
    </row>
    <row r="221" spans="2:10" ht="17.25" thickBot="1" x14ac:dyDescent="0.35">
      <c r="B221" s="5"/>
      <c r="C221" s="5"/>
      <c r="D221" s="5"/>
      <c r="E221" s="5" t="s">
        <v>472</v>
      </c>
      <c r="F221" s="6" t="b">
        <f t="shared" si="49"/>
        <v>0</v>
      </c>
      <c r="G221" s="6">
        <f t="shared" si="50"/>
        <v>0</v>
      </c>
      <c r="H221" s="6" t="b">
        <f t="shared" si="51"/>
        <v>0</v>
      </c>
      <c r="I221" s="6">
        <f t="shared" si="52"/>
        <v>0</v>
      </c>
      <c r="J221">
        <f t="shared" ref="J221" si="58">IF(hascolor(E217:E221,$E$6)=TRUE, 1, 0)</f>
        <v>1</v>
      </c>
    </row>
    <row r="222" spans="2:10" ht="17.25" thickBot="1" x14ac:dyDescent="0.35">
      <c r="B222" s="6" t="s">
        <v>46</v>
      </c>
      <c r="C222" s="6" t="s">
        <v>207</v>
      </c>
      <c r="D222" s="6" t="s">
        <v>337</v>
      </c>
      <c r="E222" s="13" t="s">
        <v>715</v>
      </c>
      <c r="F222" s="6" t="b">
        <f t="shared" si="49"/>
        <v>1</v>
      </c>
      <c r="G222" s="6">
        <f t="shared" si="50"/>
        <v>1</v>
      </c>
      <c r="H222" s="6" t="b">
        <f t="shared" si="51"/>
        <v>1</v>
      </c>
      <c r="I222" s="6">
        <f t="shared" si="52"/>
        <v>1</v>
      </c>
    </row>
    <row r="223" spans="2:10" ht="17.25" thickBot="1" x14ac:dyDescent="0.35">
      <c r="B223" s="4"/>
      <c r="C223" s="4"/>
      <c r="D223" s="4"/>
      <c r="E223" s="4" t="s">
        <v>716</v>
      </c>
      <c r="F223" s="6" t="b">
        <f t="shared" si="49"/>
        <v>0</v>
      </c>
      <c r="G223" s="6">
        <f t="shared" si="50"/>
        <v>0</v>
      </c>
      <c r="H223" s="6" t="b">
        <f t="shared" si="51"/>
        <v>0</v>
      </c>
      <c r="I223" s="6">
        <f t="shared" si="52"/>
        <v>0</v>
      </c>
    </row>
    <row r="224" spans="2:10" ht="17.25" thickBot="1" x14ac:dyDescent="0.35">
      <c r="B224" s="4"/>
      <c r="C224" s="4"/>
      <c r="D224" s="4"/>
      <c r="E224" t="s">
        <v>717</v>
      </c>
      <c r="F224" s="6" t="b">
        <f t="shared" si="49"/>
        <v>0</v>
      </c>
      <c r="G224" s="6">
        <f t="shared" si="50"/>
        <v>0</v>
      </c>
      <c r="H224" s="6" t="b">
        <f t="shared" si="51"/>
        <v>0</v>
      </c>
      <c r="I224" s="6">
        <f t="shared" si="52"/>
        <v>0</v>
      </c>
    </row>
    <row r="225" spans="2:10" ht="17.25" thickBot="1" x14ac:dyDescent="0.35">
      <c r="B225" s="4"/>
      <c r="C225" s="4"/>
      <c r="D225" s="4"/>
      <c r="E225" s="4" t="s">
        <v>718</v>
      </c>
      <c r="F225" s="6" t="b">
        <f t="shared" si="49"/>
        <v>0</v>
      </c>
      <c r="G225" s="6">
        <f t="shared" si="50"/>
        <v>0</v>
      </c>
      <c r="H225" s="6" t="b">
        <f t="shared" si="51"/>
        <v>0</v>
      </c>
      <c r="I225" s="6">
        <f t="shared" si="52"/>
        <v>0</v>
      </c>
    </row>
    <row r="226" spans="2:10" ht="17.25" thickBot="1" x14ac:dyDescent="0.35">
      <c r="B226" s="5"/>
      <c r="C226" s="5"/>
      <c r="D226" s="5"/>
      <c r="E226" s="5" t="s">
        <v>473</v>
      </c>
      <c r="F226" s="6" t="b">
        <f t="shared" si="49"/>
        <v>0</v>
      </c>
      <c r="G226" s="6">
        <f t="shared" si="50"/>
        <v>0</v>
      </c>
      <c r="H226" s="6" t="b">
        <f t="shared" si="51"/>
        <v>0</v>
      </c>
      <c r="I226" s="6">
        <f t="shared" si="52"/>
        <v>0</v>
      </c>
      <c r="J226">
        <f t="shared" ref="J226" si="59">IF(hascolor(E222:E226,$E$6)=TRUE, 1, 0)</f>
        <v>1</v>
      </c>
    </row>
    <row r="227" spans="2:10" ht="17.25" thickBot="1" x14ac:dyDescent="0.35">
      <c r="B227" s="6" t="s">
        <v>47</v>
      </c>
      <c r="C227" s="6" t="s">
        <v>208</v>
      </c>
      <c r="D227" s="6" t="s">
        <v>338</v>
      </c>
      <c r="E227" s="13" t="s">
        <v>719</v>
      </c>
      <c r="F227" s="6" t="b">
        <f t="shared" si="49"/>
        <v>1</v>
      </c>
      <c r="G227" s="6">
        <f t="shared" si="50"/>
        <v>1</v>
      </c>
      <c r="H227" s="6" t="b">
        <f t="shared" si="51"/>
        <v>1</v>
      </c>
      <c r="I227" s="6">
        <f t="shared" si="52"/>
        <v>1</v>
      </c>
    </row>
    <row r="228" spans="2:10" ht="17.25" thickBot="1" x14ac:dyDescent="0.35">
      <c r="B228" s="4"/>
      <c r="C228" s="4"/>
      <c r="D228" s="4"/>
      <c r="E228" s="4" t="s">
        <v>720</v>
      </c>
      <c r="F228" s="6" t="b">
        <f t="shared" si="49"/>
        <v>0</v>
      </c>
      <c r="G228" s="6">
        <f t="shared" si="50"/>
        <v>0</v>
      </c>
      <c r="H228" s="6" t="b">
        <f t="shared" si="51"/>
        <v>0</v>
      </c>
      <c r="I228" s="6">
        <f t="shared" si="52"/>
        <v>0</v>
      </c>
    </row>
    <row r="229" spans="2:10" ht="17.25" thickBot="1" x14ac:dyDescent="0.35">
      <c r="B229" s="4"/>
      <c r="C229" s="4"/>
      <c r="D229" s="4"/>
      <c r="E229" t="s">
        <v>721</v>
      </c>
      <c r="F229" s="6" t="b">
        <f t="shared" si="49"/>
        <v>0</v>
      </c>
      <c r="G229" s="6">
        <f t="shared" si="50"/>
        <v>0</v>
      </c>
      <c r="H229" s="6" t="b">
        <f t="shared" si="51"/>
        <v>0</v>
      </c>
      <c r="I229" s="6">
        <f t="shared" si="52"/>
        <v>0</v>
      </c>
    </row>
    <row r="230" spans="2:10" ht="17.25" thickBot="1" x14ac:dyDescent="0.35">
      <c r="B230" s="4"/>
      <c r="C230" s="4"/>
      <c r="D230" s="4"/>
      <c r="E230" s="4" t="s">
        <v>722</v>
      </c>
      <c r="F230" s="6" t="b">
        <f t="shared" si="49"/>
        <v>0</v>
      </c>
      <c r="G230" s="6">
        <f t="shared" si="50"/>
        <v>0</v>
      </c>
      <c r="H230" s="6" t="b">
        <f t="shared" si="51"/>
        <v>0</v>
      </c>
      <c r="I230" s="6">
        <f t="shared" si="52"/>
        <v>0</v>
      </c>
    </row>
    <row r="231" spans="2:10" ht="17.25" thickBot="1" x14ac:dyDescent="0.35">
      <c r="B231" s="5"/>
      <c r="C231" s="5"/>
      <c r="D231" s="5"/>
      <c r="E231" s="5" t="s">
        <v>490</v>
      </c>
      <c r="F231" s="6" t="b">
        <f t="shared" si="49"/>
        <v>0</v>
      </c>
      <c r="G231" s="6">
        <f t="shared" si="50"/>
        <v>0</v>
      </c>
      <c r="H231" s="6" t="b">
        <f t="shared" si="51"/>
        <v>0</v>
      </c>
      <c r="I231" s="6">
        <f t="shared" si="52"/>
        <v>0</v>
      </c>
      <c r="J231">
        <f t="shared" ref="J231" si="60">IF(hascolor(E227:E231,$E$6)=TRUE, 1, 0)</f>
        <v>1</v>
      </c>
    </row>
    <row r="232" spans="2:10" ht="17.25" thickBot="1" x14ac:dyDescent="0.35">
      <c r="B232" s="6" t="s">
        <v>48</v>
      </c>
      <c r="C232" s="6" t="s">
        <v>209</v>
      </c>
      <c r="D232" s="6" t="s">
        <v>209</v>
      </c>
      <c r="E232" s="13" t="s">
        <v>718</v>
      </c>
      <c r="F232" s="6" t="b">
        <f t="shared" si="49"/>
        <v>1</v>
      </c>
      <c r="G232" s="6">
        <f t="shared" si="50"/>
        <v>1</v>
      </c>
      <c r="H232" s="6" t="b">
        <f t="shared" si="51"/>
        <v>1</v>
      </c>
      <c r="I232" s="6">
        <f t="shared" si="52"/>
        <v>1</v>
      </c>
    </row>
    <row r="233" spans="2:10" ht="17.25" thickBot="1" x14ac:dyDescent="0.35">
      <c r="B233" s="4"/>
      <c r="C233" s="4"/>
      <c r="D233" s="4"/>
      <c r="E233" s="4" t="s">
        <v>715</v>
      </c>
      <c r="F233" s="6" t="b">
        <f t="shared" si="49"/>
        <v>0</v>
      </c>
      <c r="G233" s="6">
        <f t="shared" si="50"/>
        <v>0</v>
      </c>
      <c r="H233" s="6" t="b">
        <f t="shared" si="51"/>
        <v>0</v>
      </c>
      <c r="I233" s="6">
        <f t="shared" si="52"/>
        <v>0</v>
      </c>
    </row>
    <row r="234" spans="2:10" ht="17.25" thickBot="1" x14ac:dyDescent="0.35">
      <c r="B234" s="4"/>
      <c r="C234" s="4"/>
      <c r="D234" s="4"/>
      <c r="E234" t="s">
        <v>723</v>
      </c>
      <c r="F234" s="6" t="b">
        <f t="shared" si="49"/>
        <v>0</v>
      </c>
      <c r="G234" s="6">
        <f t="shared" si="50"/>
        <v>0</v>
      </c>
      <c r="H234" s="6" t="b">
        <f t="shared" si="51"/>
        <v>0</v>
      </c>
      <c r="I234" s="6">
        <f t="shared" si="52"/>
        <v>0</v>
      </c>
    </row>
    <row r="235" spans="2:10" ht="17.25" thickBot="1" x14ac:dyDescent="0.35">
      <c r="B235" s="4"/>
      <c r="C235" s="4"/>
      <c r="D235" s="4"/>
      <c r="E235" s="4" t="s">
        <v>724</v>
      </c>
      <c r="F235" s="6" t="b">
        <f t="shared" si="49"/>
        <v>0</v>
      </c>
      <c r="G235" s="6">
        <f t="shared" si="50"/>
        <v>0</v>
      </c>
      <c r="H235" s="6" t="b">
        <f t="shared" si="51"/>
        <v>0</v>
      </c>
      <c r="I235" s="6">
        <f t="shared" si="52"/>
        <v>0</v>
      </c>
    </row>
    <row r="236" spans="2:10" ht="17.25" thickBot="1" x14ac:dyDescent="0.35">
      <c r="B236" s="5"/>
      <c r="C236" s="5"/>
      <c r="D236" s="5"/>
      <c r="E236" s="5" t="s">
        <v>473</v>
      </c>
      <c r="F236" s="6" t="b">
        <f t="shared" si="49"/>
        <v>0</v>
      </c>
      <c r="G236" s="6">
        <f t="shared" si="50"/>
        <v>0</v>
      </c>
      <c r="H236" s="6" t="b">
        <f t="shared" si="51"/>
        <v>0</v>
      </c>
      <c r="I236" s="6">
        <f t="shared" si="52"/>
        <v>0</v>
      </c>
      <c r="J236">
        <f t="shared" ref="J236" si="61">IF(hascolor(E232:E236,$E$6)=TRUE, 1, 0)</f>
        <v>1</v>
      </c>
    </row>
    <row r="237" spans="2:10" ht="17.25" thickBot="1" x14ac:dyDescent="0.35">
      <c r="B237" s="6" t="s">
        <v>12</v>
      </c>
      <c r="C237" s="6" t="s">
        <v>210</v>
      </c>
      <c r="D237" s="6" t="s">
        <v>339</v>
      </c>
      <c r="E237" s="13" t="s">
        <v>725</v>
      </c>
      <c r="F237" s="6" t="b">
        <f t="shared" si="49"/>
        <v>1</v>
      </c>
      <c r="G237" s="6">
        <f t="shared" si="50"/>
        <v>1</v>
      </c>
      <c r="H237" s="6" t="b">
        <f t="shared" si="51"/>
        <v>1</v>
      </c>
      <c r="I237" s="6">
        <f t="shared" si="52"/>
        <v>1</v>
      </c>
    </row>
    <row r="238" spans="2:10" ht="17.25" thickBot="1" x14ac:dyDescent="0.35">
      <c r="B238" s="4"/>
      <c r="C238" s="4"/>
      <c r="D238" s="4"/>
      <c r="E238" s="4" t="s">
        <v>726</v>
      </c>
      <c r="F238" s="6" t="b">
        <f t="shared" si="49"/>
        <v>0</v>
      </c>
      <c r="G238" s="6">
        <f t="shared" si="50"/>
        <v>0</v>
      </c>
      <c r="H238" s="6" t="b">
        <f t="shared" si="51"/>
        <v>0</v>
      </c>
      <c r="I238" s="6">
        <f t="shared" si="52"/>
        <v>0</v>
      </c>
    </row>
    <row r="239" spans="2:10" ht="17.25" thickBot="1" x14ac:dyDescent="0.35">
      <c r="B239" s="4"/>
      <c r="C239" s="4"/>
      <c r="D239" s="4"/>
      <c r="E239" t="s">
        <v>712</v>
      </c>
      <c r="F239" s="6" t="b">
        <f t="shared" si="49"/>
        <v>0</v>
      </c>
      <c r="G239" s="6">
        <f t="shared" si="50"/>
        <v>0</v>
      </c>
      <c r="H239" s="6" t="b">
        <f t="shared" si="51"/>
        <v>0</v>
      </c>
      <c r="I239" s="6">
        <f t="shared" si="52"/>
        <v>0</v>
      </c>
    </row>
    <row r="240" spans="2:10" ht="17.25" thickBot="1" x14ac:dyDescent="0.35">
      <c r="B240" s="4"/>
      <c r="C240" s="4"/>
      <c r="D240" s="4"/>
      <c r="E240" s="4" t="s">
        <v>703</v>
      </c>
      <c r="F240" s="6" t="b">
        <f t="shared" si="49"/>
        <v>0</v>
      </c>
      <c r="G240" s="6">
        <f t="shared" si="50"/>
        <v>0</v>
      </c>
      <c r="H240" s="6" t="b">
        <f t="shared" si="51"/>
        <v>0</v>
      </c>
      <c r="I240" s="6">
        <f t="shared" si="52"/>
        <v>0</v>
      </c>
    </row>
    <row r="241" spans="1:11" ht="17.25" thickBot="1" x14ac:dyDescent="0.35">
      <c r="B241" s="5"/>
      <c r="C241" s="5"/>
      <c r="D241" s="5"/>
      <c r="E241" s="5" t="s">
        <v>474</v>
      </c>
      <c r="F241" s="6" t="b">
        <f t="shared" si="49"/>
        <v>0</v>
      </c>
      <c r="G241" s="6">
        <f t="shared" si="50"/>
        <v>0</v>
      </c>
      <c r="H241" s="6" t="b">
        <f t="shared" si="51"/>
        <v>0</v>
      </c>
      <c r="I241" s="6">
        <f t="shared" si="52"/>
        <v>0</v>
      </c>
      <c r="J241">
        <f t="shared" ref="J241" si="62">IF(hascolor(E237:E241,$E$6)=TRUE, 1, 0)</f>
        <v>1</v>
      </c>
    </row>
    <row r="242" spans="1:11" ht="17.25" thickBot="1" x14ac:dyDescent="0.35">
      <c r="B242" s="6" t="s">
        <v>13</v>
      </c>
      <c r="C242" s="6" t="s">
        <v>211</v>
      </c>
      <c r="D242" s="6" t="s">
        <v>340</v>
      </c>
      <c r="E242" s="13" t="s">
        <v>716</v>
      </c>
      <c r="F242" s="6" t="b">
        <f t="shared" si="49"/>
        <v>1</v>
      </c>
      <c r="G242" s="6">
        <f t="shared" si="50"/>
        <v>1</v>
      </c>
      <c r="H242" s="6" t="b">
        <f t="shared" si="51"/>
        <v>1</v>
      </c>
      <c r="I242" s="6">
        <f t="shared" si="52"/>
        <v>1</v>
      </c>
    </row>
    <row r="243" spans="1:11" ht="17.25" thickBot="1" x14ac:dyDescent="0.35">
      <c r="B243" s="4"/>
      <c r="C243" s="4"/>
      <c r="D243" s="4"/>
      <c r="E243" s="4" t="s">
        <v>727</v>
      </c>
      <c r="F243" s="6" t="b">
        <f t="shared" si="49"/>
        <v>0</v>
      </c>
      <c r="G243" s="6">
        <f t="shared" si="50"/>
        <v>0</v>
      </c>
      <c r="H243" s="6" t="b">
        <f t="shared" si="51"/>
        <v>0</v>
      </c>
      <c r="I243" s="6">
        <f t="shared" si="52"/>
        <v>0</v>
      </c>
    </row>
    <row r="244" spans="1:11" ht="17.25" thickBot="1" x14ac:dyDescent="0.35">
      <c r="B244" s="4"/>
      <c r="C244" s="4"/>
      <c r="D244" s="4"/>
      <c r="E244" t="s">
        <v>717</v>
      </c>
      <c r="F244" s="6" t="b">
        <f t="shared" si="49"/>
        <v>0</v>
      </c>
      <c r="G244" s="6">
        <f t="shared" si="50"/>
        <v>0</v>
      </c>
      <c r="H244" s="6" t="b">
        <f t="shared" si="51"/>
        <v>0</v>
      </c>
      <c r="I244" s="6">
        <f t="shared" si="52"/>
        <v>0</v>
      </c>
    </row>
    <row r="245" spans="1:11" ht="17.25" thickBot="1" x14ac:dyDescent="0.35">
      <c r="B245" s="4"/>
      <c r="C245" s="4"/>
      <c r="D245" s="4"/>
      <c r="E245" s="4" t="s">
        <v>715</v>
      </c>
      <c r="F245" s="6" t="b">
        <f t="shared" si="49"/>
        <v>0</v>
      </c>
      <c r="G245" s="6">
        <f t="shared" si="50"/>
        <v>0</v>
      </c>
      <c r="H245" s="6" t="b">
        <f t="shared" si="51"/>
        <v>0</v>
      </c>
      <c r="I245" s="6">
        <f t="shared" si="52"/>
        <v>0</v>
      </c>
    </row>
    <row r="246" spans="1:11" ht="17.25" thickBot="1" x14ac:dyDescent="0.35">
      <c r="B246" s="5"/>
      <c r="C246" s="5"/>
      <c r="D246" s="5"/>
      <c r="E246" s="5" t="s">
        <v>475</v>
      </c>
      <c r="F246" s="6" t="b">
        <f t="shared" si="49"/>
        <v>0</v>
      </c>
      <c r="G246" s="6">
        <f t="shared" si="50"/>
        <v>0</v>
      </c>
      <c r="H246" s="6" t="b">
        <f t="shared" si="51"/>
        <v>0</v>
      </c>
      <c r="I246" s="6">
        <f t="shared" si="52"/>
        <v>0</v>
      </c>
      <c r="J246">
        <f t="shared" ref="J246" si="63">IF(hascolor(E242:E246,$E$6)=TRUE, 1, 0)</f>
        <v>1</v>
      </c>
    </row>
    <row r="247" spans="1:11" ht="17.25" thickBot="1" x14ac:dyDescent="0.35">
      <c r="B247" s="6" t="s">
        <v>107</v>
      </c>
      <c r="C247" s="6" t="s">
        <v>212</v>
      </c>
      <c r="D247" s="6" t="s">
        <v>212</v>
      </c>
      <c r="E247" s="6" t="s">
        <v>728</v>
      </c>
      <c r="F247" s="6" t="b">
        <f t="shared" si="49"/>
        <v>1</v>
      </c>
      <c r="G247" s="6">
        <f t="shared" si="50"/>
        <v>1</v>
      </c>
      <c r="H247" s="6" t="b">
        <f t="shared" si="51"/>
        <v>0</v>
      </c>
      <c r="I247" s="6">
        <f t="shared" si="52"/>
        <v>0</v>
      </c>
    </row>
    <row r="248" spans="1:11" ht="17.25" thickBot="1" x14ac:dyDescent="0.35">
      <c r="B248" s="4"/>
      <c r="C248" s="4"/>
      <c r="D248" s="4"/>
      <c r="E248" s="4" t="s">
        <v>729</v>
      </c>
      <c r="F248" s="6" t="b">
        <f t="shared" si="49"/>
        <v>0</v>
      </c>
      <c r="G248" s="6">
        <f t="shared" si="50"/>
        <v>0</v>
      </c>
      <c r="H248" s="6" t="b">
        <f t="shared" si="51"/>
        <v>0</v>
      </c>
      <c r="I248" s="6">
        <f t="shared" si="52"/>
        <v>0</v>
      </c>
    </row>
    <row r="249" spans="1:11" ht="17.25" thickBot="1" x14ac:dyDescent="0.35">
      <c r="B249" s="4"/>
      <c r="C249" s="4"/>
      <c r="D249" s="4"/>
      <c r="E249" s="14" t="s">
        <v>730</v>
      </c>
      <c r="F249" s="6" t="b">
        <f t="shared" si="49"/>
        <v>0</v>
      </c>
      <c r="G249" s="6">
        <f t="shared" si="50"/>
        <v>0</v>
      </c>
      <c r="H249" s="6" t="b">
        <f t="shared" si="51"/>
        <v>1</v>
      </c>
      <c r="I249" s="6">
        <f t="shared" si="52"/>
        <v>1</v>
      </c>
    </row>
    <row r="250" spans="1:11" ht="17.25" thickBot="1" x14ac:dyDescent="0.35">
      <c r="B250" s="4"/>
      <c r="C250" s="4"/>
      <c r="D250" s="4"/>
      <c r="E250" s="4" t="s">
        <v>725</v>
      </c>
      <c r="F250" s="6" t="b">
        <f t="shared" si="49"/>
        <v>0</v>
      </c>
      <c r="G250" s="6">
        <f t="shared" si="50"/>
        <v>0</v>
      </c>
      <c r="H250" s="6" t="b">
        <f t="shared" si="51"/>
        <v>0</v>
      </c>
      <c r="I250" s="6">
        <f t="shared" si="52"/>
        <v>0</v>
      </c>
    </row>
    <row r="251" spans="1:11" ht="17.25" thickBot="1" x14ac:dyDescent="0.35">
      <c r="B251" s="5"/>
      <c r="C251" s="5"/>
      <c r="D251" s="5"/>
      <c r="E251" s="5" t="s">
        <v>491</v>
      </c>
      <c r="F251" s="6" t="b">
        <f t="shared" si="49"/>
        <v>0</v>
      </c>
      <c r="G251" s="6">
        <f t="shared" si="50"/>
        <v>0</v>
      </c>
      <c r="H251" s="6" t="b">
        <f t="shared" si="51"/>
        <v>0</v>
      </c>
      <c r="I251" s="6">
        <f t="shared" si="52"/>
        <v>0</v>
      </c>
      <c r="J251">
        <f t="shared" ref="J251" si="64">IF(hascolor(E247:E251,$E$6)=TRUE, 1, 0)</f>
        <v>1</v>
      </c>
      <c r="K251">
        <f>SUM(J202:J251)</f>
        <v>10</v>
      </c>
    </row>
    <row r="252" spans="1:11" ht="17.25" thickBot="1" x14ac:dyDescent="0.35">
      <c r="A252" s="2" t="s">
        <v>113</v>
      </c>
      <c r="B252" s="6" t="s">
        <v>49</v>
      </c>
      <c r="C252" s="6" t="s">
        <v>213</v>
      </c>
      <c r="D252" s="6" t="s">
        <v>341</v>
      </c>
      <c r="E252" s="13" t="s">
        <v>731</v>
      </c>
      <c r="F252" s="6" t="b">
        <f t="shared" si="49"/>
        <v>1</v>
      </c>
      <c r="G252" s="6">
        <f t="shared" si="50"/>
        <v>1</v>
      </c>
      <c r="H252" s="6" t="b">
        <f t="shared" si="51"/>
        <v>1</v>
      </c>
      <c r="I252" s="6">
        <f t="shared" si="52"/>
        <v>1</v>
      </c>
    </row>
    <row r="253" spans="1:11" ht="17.25" thickBot="1" x14ac:dyDescent="0.35">
      <c r="B253" s="4"/>
      <c r="C253" s="4" t="s">
        <v>214</v>
      </c>
      <c r="D253" s="4" t="s">
        <v>342</v>
      </c>
      <c r="E253" s="4" t="s">
        <v>732</v>
      </c>
      <c r="F253" s="6" t="b">
        <f t="shared" si="49"/>
        <v>1</v>
      </c>
      <c r="G253" s="6">
        <f t="shared" si="50"/>
        <v>1</v>
      </c>
      <c r="H253" s="6" t="b">
        <f t="shared" si="51"/>
        <v>0</v>
      </c>
      <c r="I253" s="6">
        <f t="shared" si="52"/>
        <v>0</v>
      </c>
    </row>
    <row r="254" spans="1:11" ht="17.25" thickBot="1" x14ac:dyDescent="0.35">
      <c r="B254" s="4"/>
      <c r="C254" s="8"/>
      <c r="E254" t="s">
        <v>733</v>
      </c>
      <c r="F254" s="6" t="b">
        <f t="shared" si="49"/>
        <v>0</v>
      </c>
      <c r="G254" s="6">
        <f t="shared" si="50"/>
        <v>0</v>
      </c>
      <c r="H254" s="6" t="b">
        <f t="shared" si="51"/>
        <v>0</v>
      </c>
      <c r="I254" s="6">
        <f t="shared" si="52"/>
        <v>0</v>
      </c>
    </row>
    <row r="255" spans="1:11" ht="17.25" thickBot="1" x14ac:dyDescent="0.35">
      <c r="B255" s="4"/>
      <c r="C255" s="8"/>
      <c r="E255" s="4" t="s">
        <v>734</v>
      </c>
      <c r="F255" s="6" t="b">
        <f t="shared" si="49"/>
        <v>0</v>
      </c>
      <c r="G255" s="6">
        <f t="shared" si="50"/>
        <v>0</v>
      </c>
      <c r="H255" s="6" t="b">
        <f t="shared" si="51"/>
        <v>0</v>
      </c>
      <c r="I255" s="6">
        <f t="shared" si="52"/>
        <v>0</v>
      </c>
    </row>
    <row r="256" spans="1:11" ht="17.25" thickBot="1" x14ac:dyDescent="0.35">
      <c r="B256" s="5"/>
      <c r="C256" s="5"/>
      <c r="D256" s="5"/>
      <c r="E256" s="5" t="s">
        <v>538</v>
      </c>
      <c r="F256" s="6" t="b">
        <f t="shared" si="49"/>
        <v>0</v>
      </c>
      <c r="G256" s="6">
        <f t="shared" si="50"/>
        <v>0</v>
      </c>
      <c r="H256" s="6" t="b">
        <f t="shared" si="51"/>
        <v>0</v>
      </c>
      <c r="I256" s="6">
        <f t="shared" si="52"/>
        <v>0</v>
      </c>
      <c r="J256">
        <f t="shared" ref="J256" si="65">IF(hascolor(E252:E256,$E$6)=TRUE, 1, 0)</f>
        <v>1</v>
      </c>
    </row>
    <row r="257" spans="2:10" ht="17.25" thickBot="1" x14ac:dyDescent="0.35">
      <c r="B257" s="6" t="s">
        <v>50</v>
      </c>
      <c r="C257" s="6" t="s">
        <v>213</v>
      </c>
      <c r="D257" s="6" t="s">
        <v>343</v>
      </c>
      <c r="E257" s="13" t="s">
        <v>735</v>
      </c>
      <c r="F257" s="6" t="b">
        <f t="shared" si="49"/>
        <v>1</v>
      </c>
      <c r="G257" s="6">
        <f t="shared" si="50"/>
        <v>1</v>
      </c>
      <c r="H257" s="6" t="b">
        <f t="shared" si="51"/>
        <v>1</v>
      </c>
      <c r="I257" s="6">
        <f t="shared" si="52"/>
        <v>1</v>
      </c>
    </row>
    <row r="258" spans="2:10" ht="17.25" thickBot="1" x14ac:dyDescent="0.35">
      <c r="B258" s="4"/>
      <c r="C258" s="8" t="s">
        <v>560</v>
      </c>
      <c r="D258" s="8" t="s">
        <v>560</v>
      </c>
      <c r="E258" s="11" t="s">
        <v>736</v>
      </c>
      <c r="F258" s="6" t="b">
        <f t="shared" si="49"/>
        <v>1</v>
      </c>
      <c r="G258" s="6">
        <f t="shared" si="50"/>
        <v>1</v>
      </c>
      <c r="H258" s="6" t="b">
        <f t="shared" si="51"/>
        <v>1</v>
      </c>
      <c r="I258" s="6">
        <f t="shared" si="52"/>
        <v>1</v>
      </c>
    </row>
    <row r="259" spans="2:10" ht="17.25" thickBot="1" x14ac:dyDescent="0.35">
      <c r="B259" s="4"/>
      <c r="C259" s="8" t="s">
        <v>561</v>
      </c>
      <c r="D259" s="8" t="s">
        <v>561</v>
      </c>
      <c r="E259" t="s">
        <v>737</v>
      </c>
      <c r="F259" s="6" t="b">
        <f t="shared" ref="F259:F322" si="66">NOT(ISBLANK(D259))</f>
        <v>1</v>
      </c>
      <c r="G259" s="6">
        <f t="shared" ref="G259:G322" si="67">IF(F259=TRUE, 1, 0)</f>
        <v>1</v>
      </c>
      <c r="H259" s="6" t="b">
        <f t="shared" ref="H259:H322" si="68">hascolor(E259,$E$6)</f>
        <v>0</v>
      </c>
      <c r="I259" s="6">
        <f t="shared" ref="I259:I322" si="69">IF(H259, 1, 0)</f>
        <v>0</v>
      </c>
    </row>
    <row r="260" spans="2:10" ht="17.25" thickBot="1" x14ac:dyDescent="0.35">
      <c r="B260" s="4"/>
      <c r="D260" s="4"/>
      <c r="E260" s="4" t="s">
        <v>738</v>
      </c>
      <c r="F260" s="6" t="b">
        <f t="shared" si="66"/>
        <v>0</v>
      </c>
      <c r="G260" s="6">
        <f t="shared" si="67"/>
        <v>0</v>
      </c>
      <c r="H260" s="6" t="b">
        <f t="shared" si="68"/>
        <v>0</v>
      </c>
      <c r="I260" s="6">
        <f t="shared" si="69"/>
        <v>0</v>
      </c>
    </row>
    <row r="261" spans="2:10" ht="17.25" thickBot="1" x14ac:dyDescent="0.35">
      <c r="B261" s="5"/>
      <c r="C261" s="5"/>
      <c r="D261" s="5"/>
      <c r="E261" s="5" t="s">
        <v>540</v>
      </c>
      <c r="F261" s="6" t="b">
        <f t="shared" si="66"/>
        <v>0</v>
      </c>
      <c r="G261" s="6">
        <f t="shared" si="67"/>
        <v>0</v>
      </c>
      <c r="H261" s="6" t="b">
        <f t="shared" si="68"/>
        <v>0</v>
      </c>
      <c r="I261" s="6">
        <f t="shared" si="69"/>
        <v>0</v>
      </c>
      <c r="J261">
        <f t="shared" ref="J261" si="70">IF(hascolor(E257:E261,$E$6)=TRUE, 1, 0)</f>
        <v>1</v>
      </c>
    </row>
    <row r="262" spans="2:10" ht="17.25" thickBot="1" x14ac:dyDescent="0.35">
      <c r="B262" s="6" t="s">
        <v>51</v>
      </c>
      <c r="C262" s="6" t="s">
        <v>215</v>
      </c>
      <c r="D262" s="6" t="s">
        <v>344</v>
      </c>
      <c r="E262" s="13" t="s">
        <v>739</v>
      </c>
      <c r="F262" s="6" t="b">
        <f t="shared" si="66"/>
        <v>1</v>
      </c>
      <c r="G262" s="6">
        <f t="shared" si="67"/>
        <v>1</v>
      </c>
      <c r="H262" s="6" t="b">
        <f t="shared" si="68"/>
        <v>1</v>
      </c>
      <c r="I262" s="6">
        <f t="shared" si="69"/>
        <v>1</v>
      </c>
    </row>
    <row r="263" spans="2:10" ht="17.25" thickBot="1" x14ac:dyDescent="0.35">
      <c r="B263" s="4"/>
      <c r="C263" s="4" t="s">
        <v>216</v>
      </c>
      <c r="D263" s="4" t="s">
        <v>563</v>
      </c>
      <c r="E263" s="11" t="s">
        <v>740</v>
      </c>
      <c r="F263" s="6" t="b">
        <f t="shared" si="66"/>
        <v>1</v>
      </c>
      <c r="G263" s="6">
        <f t="shared" si="67"/>
        <v>1</v>
      </c>
      <c r="H263" s="6" t="b">
        <f t="shared" si="68"/>
        <v>1</v>
      </c>
      <c r="I263" s="6">
        <f t="shared" si="69"/>
        <v>1</v>
      </c>
    </row>
    <row r="264" spans="2:10" ht="17.25" thickBot="1" x14ac:dyDescent="0.35">
      <c r="B264" s="4"/>
      <c r="C264" s="4" t="s">
        <v>882</v>
      </c>
      <c r="D264" s="4" t="s">
        <v>562</v>
      </c>
      <c r="E264" t="s">
        <v>741</v>
      </c>
      <c r="F264" s="6" t="b">
        <f t="shared" si="66"/>
        <v>1</v>
      </c>
      <c r="G264" s="6">
        <f t="shared" si="67"/>
        <v>1</v>
      </c>
      <c r="H264" s="6" t="b">
        <f t="shared" si="68"/>
        <v>0</v>
      </c>
      <c r="I264" s="6">
        <f t="shared" si="69"/>
        <v>0</v>
      </c>
    </row>
    <row r="265" spans="2:10" ht="17.25" thickBot="1" x14ac:dyDescent="0.35">
      <c r="B265" s="4"/>
      <c r="C265" s="4"/>
      <c r="D265" s="4"/>
      <c r="E265" s="4" t="s">
        <v>742</v>
      </c>
      <c r="F265" s="6" t="b">
        <f t="shared" si="66"/>
        <v>0</v>
      </c>
      <c r="G265" s="6">
        <f t="shared" si="67"/>
        <v>0</v>
      </c>
      <c r="H265" s="6" t="b">
        <f t="shared" si="68"/>
        <v>0</v>
      </c>
      <c r="I265" s="6">
        <f t="shared" si="69"/>
        <v>0</v>
      </c>
    </row>
    <row r="266" spans="2:10" ht="17.25" thickBot="1" x14ac:dyDescent="0.35">
      <c r="B266" s="5"/>
      <c r="C266" s="5"/>
      <c r="D266" s="5"/>
      <c r="E266" s="5" t="s">
        <v>543</v>
      </c>
      <c r="F266" s="6" t="b">
        <f t="shared" si="66"/>
        <v>0</v>
      </c>
      <c r="G266" s="6">
        <f t="shared" si="67"/>
        <v>0</v>
      </c>
      <c r="H266" s="6" t="b">
        <f t="shared" si="68"/>
        <v>0</v>
      </c>
      <c r="I266" s="6">
        <f t="shared" si="69"/>
        <v>0</v>
      </c>
      <c r="J266">
        <f t="shared" ref="J266" si="71">IF(hascolor(E262:E266,$E$6)=TRUE, 1, 0)</f>
        <v>1</v>
      </c>
    </row>
    <row r="267" spans="2:10" ht="17.25" thickBot="1" x14ac:dyDescent="0.35">
      <c r="B267" s="6" t="s">
        <v>52</v>
      </c>
      <c r="C267" s="6" t="s">
        <v>217</v>
      </c>
      <c r="D267" s="4" t="s">
        <v>562</v>
      </c>
      <c r="E267" s="13" t="s">
        <v>743</v>
      </c>
      <c r="F267" s="6" t="b">
        <f t="shared" si="66"/>
        <v>1</v>
      </c>
      <c r="G267" s="6">
        <f t="shared" si="67"/>
        <v>1</v>
      </c>
      <c r="H267" s="6" t="b">
        <f t="shared" si="68"/>
        <v>1</v>
      </c>
      <c r="I267" s="6">
        <f t="shared" si="69"/>
        <v>1</v>
      </c>
    </row>
    <row r="268" spans="2:10" ht="17.25" thickBot="1" x14ac:dyDescent="0.35">
      <c r="B268" s="4"/>
      <c r="C268" s="4" t="s">
        <v>218</v>
      </c>
      <c r="D268" s="4" t="s">
        <v>345</v>
      </c>
      <c r="E268" s="11" t="s">
        <v>744</v>
      </c>
      <c r="F268" s="6" t="b">
        <f t="shared" si="66"/>
        <v>1</v>
      </c>
      <c r="G268" s="6">
        <f t="shared" si="67"/>
        <v>1</v>
      </c>
      <c r="H268" s="6" t="b">
        <f t="shared" si="68"/>
        <v>1</v>
      </c>
      <c r="I268" s="6">
        <f t="shared" si="69"/>
        <v>1</v>
      </c>
    </row>
    <row r="269" spans="2:10" ht="17.25" thickBot="1" x14ac:dyDescent="0.35">
      <c r="B269" s="4"/>
      <c r="C269" s="4"/>
      <c r="E269" t="s">
        <v>738</v>
      </c>
      <c r="F269" s="6" t="b">
        <f t="shared" si="66"/>
        <v>0</v>
      </c>
      <c r="G269" s="6">
        <f t="shared" si="67"/>
        <v>0</v>
      </c>
      <c r="H269" s="6" t="b">
        <f t="shared" si="68"/>
        <v>0</v>
      </c>
      <c r="I269" s="6">
        <f t="shared" si="69"/>
        <v>0</v>
      </c>
    </row>
    <row r="270" spans="2:10" ht="17.25" thickBot="1" x14ac:dyDescent="0.35">
      <c r="B270" s="4"/>
      <c r="C270" s="4"/>
      <c r="D270" s="4"/>
      <c r="E270" s="4" t="s">
        <v>741</v>
      </c>
      <c r="F270" s="6" t="b">
        <f t="shared" si="66"/>
        <v>0</v>
      </c>
      <c r="G270" s="6">
        <f t="shared" si="67"/>
        <v>0</v>
      </c>
      <c r="H270" s="6" t="b">
        <f t="shared" si="68"/>
        <v>0</v>
      </c>
      <c r="I270" s="6">
        <f t="shared" si="69"/>
        <v>0</v>
      </c>
    </row>
    <row r="271" spans="2:10" ht="17.25" thickBot="1" x14ac:dyDescent="0.35">
      <c r="B271" s="5"/>
      <c r="C271" s="5"/>
      <c r="D271" s="5"/>
      <c r="E271" s="5" t="s">
        <v>544</v>
      </c>
      <c r="F271" s="6" t="b">
        <f t="shared" si="66"/>
        <v>0</v>
      </c>
      <c r="G271" s="6">
        <f t="shared" si="67"/>
        <v>0</v>
      </c>
      <c r="H271" s="6" t="b">
        <f t="shared" si="68"/>
        <v>0</v>
      </c>
      <c r="I271" s="6">
        <f t="shared" si="69"/>
        <v>0</v>
      </c>
      <c r="J271">
        <f t="shared" ref="J271" si="72">IF(hascolor(E267:E271,$E$6)=TRUE, 1, 0)</f>
        <v>1</v>
      </c>
    </row>
    <row r="272" spans="2:10" ht="17.25" thickBot="1" x14ac:dyDescent="0.35">
      <c r="B272" s="6" t="s">
        <v>53</v>
      </c>
      <c r="C272" s="6" t="s">
        <v>219</v>
      </c>
      <c r="D272" s="6" t="s">
        <v>346</v>
      </c>
      <c r="E272" s="13" t="s">
        <v>745</v>
      </c>
      <c r="F272" s="6" t="b">
        <f t="shared" si="66"/>
        <v>1</v>
      </c>
      <c r="G272" s="6">
        <f t="shared" si="67"/>
        <v>1</v>
      </c>
      <c r="H272" s="6" t="b">
        <f t="shared" si="68"/>
        <v>1</v>
      </c>
      <c r="I272" s="6">
        <f t="shared" si="69"/>
        <v>1</v>
      </c>
    </row>
    <row r="273" spans="2:10" ht="17.25" thickBot="1" x14ac:dyDescent="0.35">
      <c r="B273" s="4"/>
      <c r="C273" s="4" t="s">
        <v>220</v>
      </c>
      <c r="D273" s="4" t="s">
        <v>347</v>
      </c>
      <c r="E273" s="11" t="s">
        <v>746</v>
      </c>
      <c r="F273" s="6" t="b">
        <f t="shared" si="66"/>
        <v>1</v>
      </c>
      <c r="G273" s="6">
        <f t="shared" si="67"/>
        <v>1</v>
      </c>
      <c r="H273" s="6" t="b">
        <f t="shared" si="68"/>
        <v>1</v>
      </c>
      <c r="I273" s="6">
        <f t="shared" si="69"/>
        <v>1</v>
      </c>
    </row>
    <row r="274" spans="2:10" ht="17.25" thickBot="1" x14ac:dyDescent="0.35">
      <c r="B274" s="4"/>
      <c r="C274" s="4"/>
      <c r="D274" s="4"/>
      <c r="E274" t="s">
        <v>747</v>
      </c>
      <c r="F274" s="6" t="b">
        <f t="shared" si="66"/>
        <v>0</v>
      </c>
      <c r="G274" s="6">
        <f t="shared" si="67"/>
        <v>0</v>
      </c>
      <c r="H274" s="6" t="b">
        <f t="shared" si="68"/>
        <v>0</v>
      </c>
      <c r="I274" s="6">
        <f t="shared" si="69"/>
        <v>0</v>
      </c>
    </row>
    <row r="275" spans="2:10" ht="17.25" thickBot="1" x14ac:dyDescent="0.35">
      <c r="B275" s="4"/>
      <c r="C275" s="4"/>
      <c r="D275" s="4"/>
      <c r="E275" s="4" t="s">
        <v>748</v>
      </c>
      <c r="F275" s="6" t="b">
        <f t="shared" si="66"/>
        <v>0</v>
      </c>
      <c r="G275" s="6">
        <f t="shared" si="67"/>
        <v>0</v>
      </c>
      <c r="H275" s="6" t="b">
        <f t="shared" si="68"/>
        <v>0</v>
      </c>
      <c r="I275" s="6">
        <f t="shared" si="69"/>
        <v>0</v>
      </c>
    </row>
    <row r="276" spans="2:10" ht="17.25" thickBot="1" x14ac:dyDescent="0.35">
      <c r="B276" s="5"/>
      <c r="C276" s="5"/>
      <c r="D276" s="5"/>
      <c r="E276" s="5" t="s">
        <v>540</v>
      </c>
      <c r="F276" s="6" t="b">
        <f t="shared" si="66"/>
        <v>0</v>
      </c>
      <c r="G276" s="6">
        <f t="shared" si="67"/>
        <v>0</v>
      </c>
      <c r="H276" s="6" t="b">
        <f t="shared" si="68"/>
        <v>0</v>
      </c>
      <c r="I276" s="6">
        <f t="shared" si="69"/>
        <v>0</v>
      </c>
      <c r="J276">
        <f t="shared" ref="J276" si="73">IF(hascolor(E272:E276,$E$6)=TRUE, 1, 0)</f>
        <v>1</v>
      </c>
    </row>
    <row r="277" spans="2:10" ht="17.25" thickBot="1" x14ac:dyDescent="0.35">
      <c r="B277" s="6" t="s">
        <v>54</v>
      </c>
      <c r="C277" s="6" t="s">
        <v>221</v>
      </c>
      <c r="D277" s="6" t="s">
        <v>348</v>
      </c>
      <c r="E277" s="6" t="s">
        <v>749</v>
      </c>
      <c r="F277" s="6" t="b">
        <f t="shared" si="66"/>
        <v>1</v>
      </c>
      <c r="G277" s="6">
        <f t="shared" si="67"/>
        <v>1</v>
      </c>
      <c r="H277" s="6" t="b">
        <f t="shared" si="68"/>
        <v>0</v>
      </c>
      <c r="I277" s="6">
        <f t="shared" si="69"/>
        <v>0</v>
      </c>
    </row>
    <row r="278" spans="2:10" ht="17.25" thickBot="1" x14ac:dyDescent="0.35">
      <c r="B278" s="4"/>
      <c r="C278" s="4"/>
      <c r="D278" s="4"/>
      <c r="E278" s="4" t="s">
        <v>750</v>
      </c>
      <c r="F278" s="6" t="b">
        <f t="shared" si="66"/>
        <v>0</v>
      </c>
      <c r="G278" s="6">
        <f t="shared" si="67"/>
        <v>0</v>
      </c>
      <c r="H278" s="6" t="b">
        <f t="shared" si="68"/>
        <v>0</v>
      </c>
      <c r="I278" s="6">
        <f t="shared" si="69"/>
        <v>0</v>
      </c>
    </row>
    <row r="279" spans="2:10" ht="17.25" thickBot="1" x14ac:dyDescent="0.35">
      <c r="B279" s="4"/>
      <c r="C279" s="4"/>
      <c r="D279" s="4"/>
      <c r="E279" s="14" t="s">
        <v>751</v>
      </c>
      <c r="F279" s="6" t="b">
        <f t="shared" si="66"/>
        <v>0</v>
      </c>
      <c r="G279" s="6">
        <f t="shared" si="67"/>
        <v>0</v>
      </c>
      <c r="H279" s="6" t="b">
        <f t="shared" si="68"/>
        <v>1</v>
      </c>
      <c r="I279" s="6">
        <f t="shared" si="69"/>
        <v>1</v>
      </c>
    </row>
    <row r="280" spans="2:10" ht="17.25" thickBot="1" x14ac:dyDescent="0.35">
      <c r="B280" s="4"/>
      <c r="C280" s="4"/>
      <c r="D280" s="4"/>
      <c r="E280" s="4" t="s">
        <v>741</v>
      </c>
      <c r="F280" s="6" t="b">
        <f t="shared" si="66"/>
        <v>0</v>
      </c>
      <c r="G280" s="6">
        <f t="shared" si="67"/>
        <v>0</v>
      </c>
      <c r="H280" s="6" t="b">
        <f t="shared" si="68"/>
        <v>0</v>
      </c>
      <c r="I280" s="6">
        <f t="shared" si="69"/>
        <v>0</v>
      </c>
    </row>
    <row r="281" spans="2:10" ht="17.25" thickBot="1" x14ac:dyDescent="0.35">
      <c r="B281" s="5"/>
      <c r="C281" s="5"/>
      <c r="D281" s="5"/>
      <c r="E281" s="5" t="s">
        <v>492</v>
      </c>
      <c r="F281" s="6" t="b">
        <f t="shared" si="66"/>
        <v>0</v>
      </c>
      <c r="G281" s="6">
        <f t="shared" si="67"/>
        <v>0</v>
      </c>
      <c r="H281" s="6" t="b">
        <f t="shared" si="68"/>
        <v>0</v>
      </c>
      <c r="I281" s="6">
        <f t="shared" si="69"/>
        <v>0</v>
      </c>
      <c r="J281">
        <f t="shared" ref="J281" si="74">IF(hascolor(E277:E281,$E$6)=TRUE, 1, 0)</f>
        <v>1</v>
      </c>
    </row>
    <row r="282" spans="2:10" ht="17.25" thickBot="1" x14ac:dyDescent="0.35">
      <c r="B282" s="6" t="s">
        <v>55</v>
      </c>
      <c r="C282" s="6" t="s">
        <v>222</v>
      </c>
      <c r="D282" s="6" t="s">
        <v>349</v>
      </c>
      <c r="E282" s="13" t="s">
        <v>749</v>
      </c>
      <c r="F282" s="6" t="b">
        <f t="shared" si="66"/>
        <v>1</v>
      </c>
      <c r="G282" s="6">
        <f t="shared" si="67"/>
        <v>1</v>
      </c>
      <c r="H282" s="6" t="b">
        <f t="shared" si="68"/>
        <v>1</v>
      </c>
      <c r="I282" s="6">
        <f t="shared" si="69"/>
        <v>1</v>
      </c>
    </row>
    <row r="283" spans="2:10" ht="17.25" thickBot="1" x14ac:dyDescent="0.35">
      <c r="B283" s="4"/>
      <c r="C283" s="4" t="s">
        <v>223</v>
      </c>
      <c r="D283" s="4" t="s">
        <v>350</v>
      </c>
      <c r="E283" s="11" t="s">
        <v>750</v>
      </c>
      <c r="F283" s="6" t="b">
        <f t="shared" si="66"/>
        <v>1</v>
      </c>
      <c r="G283" s="6">
        <f t="shared" si="67"/>
        <v>1</v>
      </c>
      <c r="H283" s="6" t="b">
        <f t="shared" si="68"/>
        <v>1</v>
      </c>
      <c r="I283" s="6">
        <f t="shared" si="69"/>
        <v>1</v>
      </c>
    </row>
    <row r="284" spans="2:10" ht="17.25" thickBot="1" x14ac:dyDescent="0.35">
      <c r="B284" s="4"/>
      <c r="C284" s="4"/>
      <c r="D284" s="4"/>
      <c r="E284" t="s">
        <v>751</v>
      </c>
      <c r="F284" s="6" t="b">
        <f t="shared" si="66"/>
        <v>0</v>
      </c>
      <c r="G284" s="6">
        <f t="shared" si="67"/>
        <v>0</v>
      </c>
      <c r="H284" s="6" t="b">
        <f t="shared" si="68"/>
        <v>0</v>
      </c>
      <c r="I284" s="6">
        <f t="shared" si="69"/>
        <v>0</v>
      </c>
    </row>
    <row r="285" spans="2:10" ht="17.25" thickBot="1" x14ac:dyDescent="0.35">
      <c r="B285" s="4"/>
      <c r="C285" s="4"/>
      <c r="D285" s="4"/>
      <c r="E285" s="4" t="s">
        <v>735</v>
      </c>
      <c r="F285" s="6" t="b">
        <f t="shared" si="66"/>
        <v>0</v>
      </c>
      <c r="G285" s="6">
        <f t="shared" si="67"/>
        <v>0</v>
      </c>
      <c r="H285" s="6" t="b">
        <f t="shared" si="68"/>
        <v>0</v>
      </c>
      <c r="I285" s="6">
        <f t="shared" si="69"/>
        <v>0</v>
      </c>
    </row>
    <row r="286" spans="2:10" ht="17.25" thickBot="1" x14ac:dyDescent="0.35">
      <c r="B286" s="5"/>
      <c r="C286" s="5"/>
      <c r="D286" s="5"/>
      <c r="E286" s="5" t="s">
        <v>541</v>
      </c>
      <c r="F286" s="6" t="b">
        <f t="shared" si="66"/>
        <v>0</v>
      </c>
      <c r="G286" s="6">
        <f t="shared" si="67"/>
        <v>0</v>
      </c>
      <c r="H286" s="6" t="b">
        <f t="shared" si="68"/>
        <v>0</v>
      </c>
      <c r="I286" s="6">
        <f t="shared" si="69"/>
        <v>0</v>
      </c>
      <c r="J286">
        <f t="shared" ref="J286" si="75">IF(hascolor(E282:E286,$E$6)=TRUE, 1, 0)</f>
        <v>1</v>
      </c>
    </row>
    <row r="287" spans="2:10" ht="17.25" thickBot="1" x14ac:dyDescent="0.35">
      <c r="B287" s="6" t="s">
        <v>56</v>
      </c>
      <c r="C287" s="6" t="s">
        <v>224</v>
      </c>
      <c r="D287" s="6" t="s">
        <v>351</v>
      </c>
      <c r="E287" s="13" t="s">
        <v>752</v>
      </c>
      <c r="F287" s="6" t="b">
        <f t="shared" si="66"/>
        <v>1</v>
      </c>
      <c r="G287" s="6">
        <f t="shared" si="67"/>
        <v>1</v>
      </c>
      <c r="H287" s="6" t="b">
        <f t="shared" si="68"/>
        <v>1</v>
      </c>
      <c r="I287" s="6">
        <f t="shared" si="69"/>
        <v>1</v>
      </c>
    </row>
    <row r="288" spans="2:10" ht="17.25" thickBot="1" x14ac:dyDescent="0.35">
      <c r="B288" s="4"/>
      <c r="C288" s="4"/>
      <c r="D288" s="4"/>
      <c r="E288" s="4" t="s">
        <v>753</v>
      </c>
      <c r="F288" s="6" t="b">
        <f t="shared" si="66"/>
        <v>0</v>
      </c>
      <c r="G288" s="6">
        <f t="shared" si="67"/>
        <v>0</v>
      </c>
      <c r="H288" s="6" t="b">
        <f t="shared" si="68"/>
        <v>0</v>
      </c>
      <c r="I288" s="6">
        <f t="shared" si="69"/>
        <v>0</v>
      </c>
    </row>
    <row r="289" spans="1:11" ht="17.25" thickBot="1" x14ac:dyDescent="0.35">
      <c r="B289" s="4"/>
      <c r="C289" s="4"/>
      <c r="D289" s="4"/>
      <c r="E289" t="s">
        <v>754</v>
      </c>
      <c r="F289" s="6" t="b">
        <f t="shared" si="66"/>
        <v>0</v>
      </c>
      <c r="G289" s="6">
        <f t="shared" si="67"/>
        <v>0</v>
      </c>
      <c r="H289" s="6" t="b">
        <f t="shared" si="68"/>
        <v>0</v>
      </c>
      <c r="I289" s="6">
        <f t="shared" si="69"/>
        <v>0</v>
      </c>
    </row>
    <row r="290" spans="1:11" ht="17.25" thickBot="1" x14ac:dyDescent="0.35">
      <c r="B290" s="4"/>
      <c r="C290" s="4"/>
      <c r="D290" s="4"/>
      <c r="E290" s="4" t="s">
        <v>755</v>
      </c>
      <c r="F290" s="6" t="b">
        <f t="shared" si="66"/>
        <v>0</v>
      </c>
      <c r="G290" s="6">
        <f t="shared" si="67"/>
        <v>0</v>
      </c>
      <c r="H290" s="6" t="b">
        <f t="shared" si="68"/>
        <v>0</v>
      </c>
      <c r="I290" s="6">
        <f t="shared" si="69"/>
        <v>0</v>
      </c>
    </row>
    <row r="291" spans="1:11" ht="17.25" thickBot="1" x14ac:dyDescent="0.35">
      <c r="B291" s="5"/>
      <c r="C291" s="5"/>
      <c r="D291" s="5"/>
      <c r="E291" s="5" t="s">
        <v>542</v>
      </c>
      <c r="F291" s="6" t="b">
        <f t="shared" si="66"/>
        <v>0</v>
      </c>
      <c r="G291" s="6">
        <f t="shared" si="67"/>
        <v>0</v>
      </c>
      <c r="H291" s="6" t="b">
        <f t="shared" si="68"/>
        <v>0</v>
      </c>
      <c r="I291" s="6">
        <f t="shared" si="69"/>
        <v>0</v>
      </c>
      <c r="J291">
        <f t="shared" ref="J291" si="76">IF(hascolor(E287:E291,$E$6)=TRUE, 1, 0)</f>
        <v>1</v>
      </c>
    </row>
    <row r="292" spans="1:11" ht="17.25" thickBot="1" x14ac:dyDescent="0.35">
      <c r="B292" s="6" t="s">
        <v>57</v>
      </c>
      <c r="C292" s="6" t="s">
        <v>225</v>
      </c>
      <c r="D292" s="6" t="s">
        <v>353</v>
      </c>
      <c r="E292" s="13" t="s">
        <v>756</v>
      </c>
      <c r="F292" s="6" t="b">
        <f t="shared" si="66"/>
        <v>1</v>
      </c>
      <c r="G292" s="6">
        <f t="shared" si="67"/>
        <v>1</v>
      </c>
      <c r="H292" s="6" t="b">
        <f t="shared" si="68"/>
        <v>1</v>
      </c>
      <c r="I292" s="6">
        <f t="shared" si="69"/>
        <v>1</v>
      </c>
    </row>
    <row r="293" spans="1:11" ht="17.25" thickBot="1" x14ac:dyDescent="0.35">
      <c r="B293" s="4"/>
      <c r="C293" s="4" t="s">
        <v>226</v>
      </c>
      <c r="D293" s="4" t="s">
        <v>352</v>
      </c>
      <c r="E293" s="11" t="s">
        <v>757</v>
      </c>
      <c r="F293" s="6" t="b">
        <f t="shared" si="66"/>
        <v>1</v>
      </c>
      <c r="G293" s="6">
        <f t="shared" si="67"/>
        <v>1</v>
      </c>
      <c r="H293" s="6" t="b">
        <f t="shared" si="68"/>
        <v>1</v>
      </c>
      <c r="I293" s="6">
        <f t="shared" si="69"/>
        <v>1</v>
      </c>
    </row>
    <row r="294" spans="1:11" ht="17.25" thickBot="1" x14ac:dyDescent="0.35">
      <c r="B294" s="4"/>
      <c r="C294" s="4"/>
      <c r="D294" s="4"/>
      <c r="E294" t="s">
        <v>752</v>
      </c>
      <c r="F294" s="6" t="b">
        <f t="shared" si="66"/>
        <v>0</v>
      </c>
      <c r="G294" s="6">
        <f t="shared" si="67"/>
        <v>0</v>
      </c>
      <c r="H294" s="6" t="b">
        <f t="shared" si="68"/>
        <v>0</v>
      </c>
      <c r="I294" s="6">
        <f t="shared" si="69"/>
        <v>0</v>
      </c>
    </row>
    <row r="295" spans="1:11" ht="17.25" thickBot="1" x14ac:dyDescent="0.35">
      <c r="B295" s="4"/>
      <c r="C295" s="4"/>
      <c r="D295" s="4"/>
      <c r="E295" s="4" t="s">
        <v>758</v>
      </c>
      <c r="F295" s="6" t="b">
        <f t="shared" si="66"/>
        <v>0</v>
      </c>
      <c r="G295" s="6">
        <f t="shared" si="67"/>
        <v>0</v>
      </c>
      <c r="H295" s="6" t="b">
        <f t="shared" si="68"/>
        <v>0</v>
      </c>
      <c r="I295" s="6">
        <f t="shared" si="69"/>
        <v>0</v>
      </c>
    </row>
    <row r="296" spans="1:11" ht="17.25" thickBot="1" x14ac:dyDescent="0.35">
      <c r="B296" s="5"/>
      <c r="C296" s="5"/>
      <c r="D296" s="5"/>
      <c r="E296" s="5" t="s">
        <v>545</v>
      </c>
      <c r="F296" s="6" t="b">
        <f t="shared" si="66"/>
        <v>0</v>
      </c>
      <c r="G296" s="6">
        <f t="shared" si="67"/>
        <v>0</v>
      </c>
      <c r="H296" s="6" t="b">
        <f t="shared" si="68"/>
        <v>0</v>
      </c>
      <c r="I296" s="6">
        <f t="shared" si="69"/>
        <v>0</v>
      </c>
      <c r="J296">
        <f t="shared" ref="J296" si="77">IF(hascolor(E292:E296,$E$6)=TRUE, 1, 0)</f>
        <v>1</v>
      </c>
    </row>
    <row r="297" spans="1:11" ht="17.25" thickBot="1" x14ac:dyDescent="0.35">
      <c r="B297" s="6" t="s">
        <v>58</v>
      </c>
      <c r="C297" s="6" t="s">
        <v>213</v>
      </c>
      <c r="D297" s="6" t="s">
        <v>341</v>
      </c>
      <c r="E297" s="13" t="s">
        <v>735</v>
      </c>
      <c r="F297" s="6" t="b">
        <f t="shared" si="66"/>
        <v>1</v>
      </c>
      <c r="G297" s="6">
        <f t="shared" si="67"/>
        <v>1</v>
      </c>
      <c r="H297" s="6" t="b">
        <f t="shared" si="68"/>
        <v>1</v>
      </c>
      <c r="I297" s="6">
        <f t="shared" si="69"/>
        <v>1</v>
      </c>
    </row>
    <row r="298" spans="1:11" ht="17.25" thickBot="1" x14ac:dyDescent="0.35">
      <c r="B298" s="4"/>
      <c r="C298" s="4" t="s">
        <v>227</v>
      </c>
      <c r="D298" s="4" t="s">
        <v>354</v>
      </c>
      <c r="E298" s="4" t="s">
        <v>759</v>
      </c>
      <c r="F298" s="6" t="b">
        <f t="shared" si="66"/>
        <v>1</v>
      </c>
      <c r="G298" s="6">
        <f t="shared" si="67"/>
        <v>1</v>
      </c>
      <c r="H298" s="6" t="b">
        <f t="shared" si="68"/>
        <v>0</v>
      </c>
      <c r="I298" s="6">
        <f t="shared" si="69"/>
        <v>0</v>
      </c>
    </row>
    <row r="299" spans="1:11" ht="17.25" thickBot="1" x14ac:dyDescent="0.35">
      <c r="B299" s="4"/>
      <c r="C299" s="4"/>
      <c r="D299" s="4"/>
      <c r="E299" s="14" t="s">
        <v>741</v>
      </c>
      <c r="F299" s="6" t="b">
        <f t="shared" si="66"/>
        <v>0</v>
      </c>
      <c r="G299" s="6">
        <f t="shared" si="67"/>
        <v>0</v>
      </c>
      <c r="H299" s="6" t="b">
        <f t="shared" si="68"/>
        <v>1</v>
      </c>
      <c r="I299" s="6">
        <f t="shared" si="69"/>
        <v>1</v>
      </c>
    </row>
    <row r="300" spans="1:11" ht="17.25" thickBot="1" x14ac:dyDescent="0.35">
      <c r="B300" s="4"/>
      <c r="C300" s="4"/>
      <c r="D300" s="4"/>
      <c r="E300" s="4" t="s">
        <v>760</v>
      </c>
      <c r="F300" s="6" t="b">
        <f t="shared" si="66"/>
        <v>0</v>
      </c>
      <c r="G300" s="6">
        <f t="shared" si="67"/>
        <v>0</v>
      </c>
      <c r="H300" s="6" t="b">
        <f t="shared" si="68"/>
        <v>0</v>
      </c>
      <c r="I300" s="6">
        <f t="shared" si="69"/>
        <v>0</v>
      </c>
    </row>
    <row r="301" spans="1:11" ht="17.25" thickBot="1" x14ac:dyDescent="0.35">
      <c r="B301" s="5"/>
      <c r="C301" s="5"/>
      <c r="D301" s="5"/>
      <c r="E301" s="5" t="s">
        <v>539</v>
      </c>
      <c r="F301" s="6" t="b">
        <f t="shared" si="66"/>
        <v>0</v>
      </c>
      <c r="G301" s="6">
        <f t="shared" si="67"/>
        <v>0</v>
      </c>
      <c r="H301" s="6" t="b">
        <f t="shared" si="68"/>
        <v>0</v>
      </c>
      <c r="I301" s="6">
        <f t="shared" si="69"/>
        <v>0</v>
      </c>
      <c r="J301">
        <f t="shared" ref="J301" si="78">IF(hascolor(E297:E301,$E$6)=TRUE, 1, 0)</f>
        <v>1</v>
      </c>
      <c r="K301">
        <f>SUM(J252:J301)</f>
        <v>10</v>
      </c>
    </row>
    <row r="302" spans="1:11" ht="17.25" thickBot="1" x14ac:dyDescent="0.35">
      <c r="A302" s="2" t="s">
        <v>114</v>
      </c>
      <c r="B302" s="6" t="s">
        <v>59</v>
      </c>
      <c r="C302" s="6" t="s">
        <v>228</v>
      </c>
      <c r="D302" s="6" t="s">
        <v>356</v>
      </c>
      <c r="E302" s="13" t="s">
        <v>761</v>
      </c>
      <c r="F302" s="6" t="b">
        <f t="shared" si="66"/>
        <v>1</v>
      </c>
      <c r="G302" s="6">
        <f t="shared" si="67"/>
        <v>1</v>
      </c>
      <c r="H302" s="6" t="b">
        <f t="shared" si="68"/>
        <v>1</v>
      </c>
      <c r="I302" s="6">
        <f t="shared" si="69"/>
        <v>1</v>
      </c>
    </row>
    <row r="303" spans="1:11" ht="17.25" thickBot="1" x14ac:dyDescent="0.35">
      <c r="B303" s="4"/>
      <c r="C303" s="4" t="s">
        <v>229</v>
      </c>
      <c r="D303" s="4" t="s">
        <v>355</v>
      </c>
      <c r="E303" s="11" t="s">
        <v>762</v>
      </c>
      <c r="F303" s="6" t="b">
        <f t="shared" si="66"/>
        <v>1</v>
      </c>
      <c r="G303" s="6">
        <f t="shared" si="67"/>
        <v>1</v>
      </c>
      <c r="H303" s="6" t="b">
        <f t="shared" si="68"/>
        <v>1</v>
      </c>
      <c r="I303" s="6">
        <f t="shared" si="69"/>
        <v>1</v>
      </c>
    </row>
    <row r="304" spans="1:11" ht="17.25" thickBot="1" x14ac:dyDescent="0.35">
      <c r="B304" s="4"/>
      <c r="C304" s="4" t="s">
        <v>230</v>
      </c>
      <c r="D304" s="4" t="s">
        <v>357</v>
      </c>
      <c r="E304" t="s">
        <v>763</v>
      </c>
      <c r="F304" s="6" t="b">
        <f t="shared" si="66"/>
        <v>1</v>
      </c>
      <c r="G304" s="6">
        <f t="shared" si="67"/>
        <v>1</v>
      </c>
      <c r="H304" s="6" t="b">
        <f t="shared" si="68"/>
        <v>0</v>
      </c>
      <c r="I304" s="6">
        <f t="shared" si="69"/>
        <v>0</v>
      </c>
    </row>
    <row r="305" spans="2:10" ht="17.25" thickBot="1" x14ac:dyDescent="0.35">
      <c r="B305" s="4"/>
      <c r="C305" s="4"/>
      <c r="D305" s="4"/>
      <c r="E305" s="4" t="s">
        <v>764</v>
      </c>
      <c r="F305" s="6" t="b">
        <f t="shared" si="66"/>
        <v>0</v>
      </c>
      <c r="G305" s="6">
        <f t="shared" si="67"/>
        <v>0</v>
      </c>
      <c r="H305" s="6" t="b">
        <f t="shared" si="68"/>
        <v>0</v>
      </c>
      <c r="I305" s="6">
        <f t="shared" si="69"/>
        <v>0</v>
      </c>
    </row>
    <row r="306" spans="2:10" ht="17.25" thickBot="1" x14ac:dyDescent="0.35">
      <c r="B306" s="5"/>
      <c r="C306" s="5"/>
      <c r="D306" s="5"/>
      <c r="E306" s="5" t="s">
        <v>546</v>
      </c>
      <c r="F306" s="6" t="b">
        <f t="shared" si="66"/>
        <v>0</v>
      </c>
      <c r="G306" s="6">
        <f t="shared" si="67"/>
        <v>0</v>
      </c>
      <c r="H306" s="6" t="b">
        <f t="shared" si="68"/>
        <v>0</v>
      </c>
      <c r="I306" s="6">
        <f t="shared" si="69"/>
        <v>0</v>
      </c>
      <c r="J306">
        <f t="shared" ref="J306" si="79">IF(hascolor(E302:E306,$E$6)=TRUE, 1, 0)</f>
        <v>1</v>
      </c>
    </row>
    <row r="307" spans="2:10" ht="17.25" thickBot="1" x14ac:dyDescent="0.35">
      <c r="B307" s="6" t="s">
        <v>60</v>
      </c>
      <c r="C307" s="6" t="s">
        <v>231</v>
      </c>
      <c r="D307" s="6" t="s">
        <v>356</v>
      </c>
      <c r="E307" s="6" t="s">
        <v>765</v>
      </c>
      <c r="F307" s="6" t="b">
        <f t="shared" si="66"/>
        <v>1</v>
      </c>
      <c r="G307" s="6">
        <f t="shared" si="67"/>
        <v>1</v>
      </c>
      <c r="H307" s="6" t="b">
        <f t="shared" si="68"/>
        <v>0</v>
      </c>
      <c r="I307" s="6">
        <f t="shared" si="69"/>
        <v>0</v>
      </c>
    </row>
    <row r="308" spans="2:10" ht="17.25" thickBot="1" x14ac:dyDescent="0.35">
      <c r="B308" s="4"/>
      <c r="C308" s="4" t="s">
        <v>232</v>
      </c>
      <c r="D308" s="4" t="s">
        <v>358</v>
      </c>
      <c r="E308" s="11" t="s">
        <v>763</v>
      </c>
      <c r="F308" s="6" t="b">
        <f t="shared" si="66"/>
        <v>1</v>
      </c>
      <c r="G308" s="6">
        <f t="shared" si="67"/>
        <v>1</v>
      </c>
      <c r="H308" s="6" t="b">
        <f t="shared" si="68"/>
        <v>1</v>
      </c>
      <c r="I308" s="6">
        <f t="shared" si="69"/>
        <v>1</v>
      </c>
    </row>
    <row r="309" spans="2:10" ht="17.25" thickBot="1" x14ac:dyDescent="0.35">
      <c r="B309" s="4"/>
      <c r="C309" s="4" t="s">
        <v>233</v>
      </c>
      <c r="D309" s="4" t="s">
        <v>359</v>
      </c>
      <c r="E309" s="14" t="s">
        <v>762</v>
      </c>
      <c r="F309" s="6" t="b">
        <f t="shared" si="66"/>
        <v>1</v>
      </c>
      <c r="G309" s="6">
        <f t="shared" si="67"/>
        <v>1</v>
      </c>
      <c r="H309" s="6" t="b">
        <f t="shared" si="68"/>
        <v>1</v>
      </c>
      <c r="I309" s="6">
        <f t="shared" si="69"/>
        <v>1</v>
      </c>
    </row>
    <row r="310" spans="2:10" ht="17.25" thickBot="1" x14ac:dyDescent="0.35">
      <c r="B310" s="4"/>
      <c r="C310" s="4"/>
      <c r="D310" s="4"/>
      <c r="E310" s="4" t="s">
        <v>761</v>
      </c>
      <c r="F310" s="6" t="b">
        <f t="shared" si="66"/>
        <v>0</v>
      </c>
      <c r="G310" s="6">
        <f t="shared" si="67"/>
        <v>0</v>
      </c>
      <c r="H310" s="6" t="b">
        <f t="shared" si="68"/>
        <v>0</v>
      </c>
      <c r="I310" s="6">
        <f t="shared" si="69"/>
        <v>0</v>
      </c>
    </row>
    <row r="311" spans="2:10" ht="17.25" thickBot="1" x14ac:dyDescent="0.35">
      <c r="B311" s="5"/>
      <c r="C311" s="5"/>
      <c r="D311" s="5"/>
      <c r="E311" s="5" t="s">
        <v>548</v>
      </c>
      <c r="F311" s="6" t="b">
        <f t="shared" si="66"/>
        <v>0</v>
      </c>
      <c r="G311" s="6">
        <f t="shared" si="67"/>
        <v>0</v>
      </c>
      <c r="H311" s="6" t="b">
        <f t="shared" si="68"/>
        <v>0</v>
      </c>
      <c r="I311" s="6">
        <f t="shared" si="69"/>
        <v>0</v>
      </c>
      <c r="J311">
        <f t="shared" ref="J311" si="80">IF(hascolor(E307:E311,$E$6)=TRUE, 1, 0)</f>
        <v>1</v>
      </c>
    </row>
    <row r="312" spans="2:10" ht="17.25" thickBot="1" x14ac:dyDescent="0.35">
      <c r="B312" s="6" t="s">
        <v>61</v>
      </c>
      <c r="C312" s="6" t="s">
        <v>234</v>
      </c>
      <c r="D312" s="6" t="s">
        <v>234</v>
      </c>
      <c r="E312" s="13" t="s">
        <v>766</v>
      </c>
      <c r="F312" s="6" t="b">
        <f t="shared" si="66"/>
        <v>1</v>
      </c>
      <c r="G312" s="6">
        <f t="shared" si="67"/>
        <v>1</v>
      </c>
      <c r="H312" s="6" t="b">
        <f t="shared" si="68"/>
        <v>1</v>
      </c>
      <c r="I312" s="6">
        <f t="shared" si="69"/>
        <v>1</v>
      </c>
    </row>
    <row r="313" spans="2:10" ht="17.25" thickBot="1" x14ac:dyDescent="0.35">
      <c r="B313" s="4"/>
      <c r="C313" s="4" t="s">
        <v>235</v>
      </c>
      <c r="D313" s="4" t="s">
        <v>360</v>
      </c>
      <c r="E313" s="11" t="s">
        <v>764</v>
      </c>
      <c r="F313" s="6" t="b">
        <f t="shared" si="66"/>
        <v>1</v>
      </c>
      <c r="G313" s="6">
        <f t="shared" si="67"/>
        <v>1</v>
      </c>
      <c r="H313" s="6" t="b">
        <f t="shared" si="68"/>
        <v>1</v>
      </c>
      <c r="I313" s="6">
        <f t="shared" si="69"/>
        <v>1</v>
      </c>
    </row>
    <row r="314" spans="2:10" ht="17.25" thickBot="1" x14ac:dyDescent="0.35">
      <c r="B314" s="4"/>
      <c r="C314" s="4"/>
      <c r="D314" s="4"/>
      <c r="E314" t="s">
        <v>761</v>
      </c>
      <c r="F314" s="6" t="b">
        <f t="shared" si="66"/>
        <v>0</v>
      </c>
      <c r="G314" s="6">
        <f t="shared" si="67"/>
        <v>0</v>
      </c>
      <c r="H314" s="6" t="b">
        <f t="shared" si="68"/>
        <v>0</v>
      </c>
      <c r="I314" s="6">
        <f t="shared" si="69"/>
        <v>0</v>
      </c>
    </row>
    <row r="315" spans="2:10" ht="17.25" thickBot="1" x14ac:dyDescent="0.35">
      <c r="B315" s="4"/>
      <c r="C315" s="4"/>
      <c r="D315" s="4"/>
      <c r="E315" s="4" t="s">
        <v>767</v>
      </c>
      <c r="F315" s="6" t="b">
        <f t="shared" si="66"/>
        <v>0</v>
      </c>
      <c r="G315" s="6">
        <f t="shared" si="67"/>
        <v>0</v>
      </c>
      <c r="H315" s="6" t="b">
        <f t="shared" si="68"/>
        <v>0</v>
      </c>
      <c r="I315" s="6">
        <f t="shared" si="69"/>
        <v>0</v>
      </c>
    </row>
    <row r="316" spans="2:10" ht="17.25" thickBot="1" x14ac:dyDescent="0.35">
      <c r="B316" s="5"/>
      <c r="C316" s="5"/>
      <c r="D316" s="5"/>
      <c r="E316" s="5" t="s">
        <v>547</v>
      </c>
      <c r="F316" s="6" t="b">
        <f t="shared" si="66"/>
        <v>0</v>
      </c>
      <c r="G316" s="6">
        <f t="shared" si="67"/>
        <v>0</v>
      </c>
      <c r="H316" s="6" t="b">
        <f t="shared" si="68"/>
        <v>0</v>
      </c>
      <c r="I316" s="6">
        <f t="shared" si="69"/>
        <v>0</v>
      </c>
      <c r="J316">
        <f t="shared" ref="J316" si="81">IF(hascolor(E312:E316,$E$6)=TRUE, 1, 0)</f>
        <v>1</v>
      </c>
    </row>
    <row r="317" spans="2:10" ht="17.25" thickBot="1" x14ac:dyDescent="0.35">
      <c r="B317" s="6" t="s">
        <v>62</v>
      </c>
      <c r="C317" s="6" t="s">
        <v>236</v>
      </c>
      <c r="D317" s="6" t="s">
        <v>361</v>
      </c>
      <c r="E317" s="13" t="s">
        <v>768</v>
      </c>
      <c r="F317" s="6" t="b">
        <f t="shared" si="66"/>
        <v>1</v>
      </c>
      <c r="G317" s="6">
        <f t="shared" si="67"/>
        <v>1</v>
      </c>
      <c r="H317" s="6" t="b">
        <f t="shared" si="68"/>
        <v>1</v>
      </c>
      <c r="I317" s="6">
        <f t="shared" si="69"/>
        <v>1</v>
      </c>
    </row>
    <row r="318" spans="2:10" ht="17.25" thickBot="1" x14ac:dyDescent="0.35">
      <c r="B318" s="4"/>
      <c r="C318" s="4" t="s">
        <v>237</v>
      </c>
      <c r="D318" s="4" t="s">
        <v>237</v>
      </c>
      <c r="E318" s="11" t="s">
        <v>769</v>
      </c>
      <c r="F318" s="6" t="b">
        <f t="shared" si="66"/>
        <v>1</v>
      </c>
      <c r="G318" s="6">
        <f t="shared" si="67"/>
        <v>1</v>
      </c>
      <c r="H318" s="6" t="b">
        <f t="shared" si="68"/>
        <v>1</v>
      </c>
      <c r="I318" s="6">
        <f t="shared" si="69"/>
        <v>1</v>
      </c>
    </row>
    <row r="319" spans="2:10" ht="17.25" thickBot="1" x14ac:dyDescent="0.35">
      <c r="B319" s="4"/>
      <c r="C319" s="4" t="s">
        <v>238</v>
      </c>
      <c r="D319" s="4" t="s">
        <v>238</v>
      </c>
      <c r="E319" s="14" t="s">
        <v>770</v>
      </c>
      <c r="F319" s="6" t="b">
        <f t="shared" si="66"/>
        <v>1</v>
      </c>
      <c r="G319" s="6">
        <f t="shared" si="67"/>
        <v>1</v>
      </c>
      <c r="H319" s="6" t="b">
        <f t="shared" si="68"/>
        <v>1</v>
      </c>
      <c r="I319" s="6">
        <f t="shared" si="69"/>
        <v>1</v>
      </c>
    </row>
    <row r="320" spans="2:10" ht="17.25" thickBot="1" x14ac:dyDescent="0.35">
      <c r="B320" s="4"/>
      <c r="C320" s="4"/>
      <c r="D320" s="4"/>
      <c r="E320" s="4" t="s">
        <v>771</v>
      </c>
      <c r="F320" s="6" t="b">
        <f t="shared" si="66"/>
        <v>0</v>
      </c>
      <c r="G320" s="6">
        <f t="shared" si="67"/>
        <v>0</v>
      </c>
      <c r="H320" s="6" t="b">
        <f t="shared" si="68"/>
        <v>0</v>
      </c>
      <c r="I320" s="6">
        <f t="shared" si="69"/>
        <v>0</v>
      </c>
    </row>
    <row r="321" spans="2:10" ht="17.25" thickBot="1" x14ac:dyDescent="0.35">
      <c r="B321" s="5"/>
      <c r="C321" s="5"/>
      <c r="D321" s="5"/>
      <c r="E321" s="5" t="s">
        <v>550</v>
      </c>
      <c r="F321" s="6" t="b">
        <f t="shared" si="66"/>
        <v>0</v>
      </c>
      <c r="G321" s="6">
        <f t="shared" si="67"/>
        <v>0</v>
      </c>
      <c r="H321" s="6" t="b">
        <f t="shared" si="68"/>
        <v>0</v>
      </c>
      <c r="I321" s="6">
        <f t="shared" si="69"/>
        <v>0</v>
      </c>
      <c r="J321">
        <f t="shared" ref="J321" si="82">IF(hascolor(E317:E321,$E$6)=TRUE, 1, 0)</f>
        <v>1</v>
      </c>
    </row>
    <row r="322" spans="2:10" ht="17.25" thickBot="1" x14ac:dyDescent="0.35">
      <c r="B322" s="6" t="s">
        <v>63</v>
      </c>
      <c r="C322" s="6" t="s">
        <v>239</v>
      </c>
      <c r="D322" s="6" t="s">
        <v>880</v>
      </c>
      <c r="E322" s="6" t="s">
        <v>772</v>
      </c>
      <c r="F322" s="6" t="b">
        <f t="shared" si="66"/>
        <v>1</v>
      </c>
      <c r="G322" s="6">
        <f t="shared" si="67"/>
        <v>1</v>
      </c>
      <c r="H322" s="6" t="b">
        <f t="shared" si="68"/>
        <v>0</v>
      </c>
      <c r="I322" s="6">
        <f t="shared" si="69"/>
        <v>0</v>
      </c>
    </row>
    <row r="323" spans="2:10" ht="17.25" thickBot="1" x14ac:dyDescent="0.35">
      <c r="B323" s="4"/>
      <c r="C323" s="4" t="s">
        <v>240</v>
      </c>
      <c r="D323" s="4" t="s">
        <v>362</v>
      </c>
      <c r="E323" s="11" t="s">
        <v>773</v>
      </c>
      <c r="F323" s="6" t="b">
        <f t="shared" ref="F323:F386" si="83">NOT(ISBLANK(D323))</f>
        <v>1</v>
      </c>
      <c r="G323" s="6">
        <f t="shared" ref="G323:G386" si="84">IF(F323=TRUE, 1, 0)</f>
        <v>1</v>
      </c>
      <c r="H323" s="6" t="b">
        <f t="shared" ref="H323:H386" si="85">hascolor(E323,$E$6)</f>
        <v>1</v>
      </c>
      <c r="I323" s="6">
        <f t="shared" ref="I323:I386" si="86">IF(H323, 1, 0)</f>
        <v>1</v>
      </c>
    </row>
    <row r="324" spans="2:10" ht="17.25" thickBot="1" x14ac:dyDescent="0.35">
      <c r="B324" s="4"/>
      <c r="C324" s="4"/>
      <c r="D324" s="4"/>
      <c r="E324" t="s">
        <v>774</v>
      </c>
      <c r="F324" s="6" t="b">
        <f t="shared" si="83"/>
        <v>0</v>
      </c>
      <c r="G324" s="6">
        <f t="shared" si="84"/>
        <v>0</v>
      </c>
      <c r="H324" s="6" t="b">
        <f t="shared" si="85"/>
        <v>0</v>
      </c>
      <c r="I324" s="6">
        <f t="shared" si="86"/>
        <v>0</v>
      </c>
    </row>
    <row r="325" spans="2:10" ht="17.25" thickBot="1" x14ac:dyDescent="0.35">
      <c r="B325" s="4"/>
      <c r="C325" s="4"/>
      <c r="D325" s="4"/>
      <c r="E325" s="4" t="s">
        <v>775</v>
      </c>
      <c r="F325" s="6" t="b">
        <f t="shared" si="83"/>
        <v>0</v>
      </c>
      <c r="G325" s="6">
        <f t="shared" si="84"/>
        <v>0</v>
      </c>
      <c r="H325" s="6" t="b">
        <f t="shared" si="85"/>
        <v>0</v>
      </c>
      <c r="I325" s="6">
        <f t="shared" si="86"/>
        <v>0</v>
      </c>
    </row>
    <row r="326" spans="2:10" ht="17.25" thickBot="1" x14ac:dyDescent="0.35">
      <c r="B326" s="5"/>
      <c r="C326" s="5"/>
      <c r="D326" s="5"/>
      <c r="E326" s="5" t="s">
        <v>551</v>
      </c>
      <c r="F326" s="6" t="b">
        <f t="shared" si="83"/>
        <v>0</v>
      </c>
      <c r="G326" s="6">
        <f t="shared" si="84"/>
        <v>0</v>
      </c>
      <c r="H326" s="6" t="b">
        <f t="shared" si="85"/>
        <v>0</v>
      </c>
      <c r="I326" s="6">
        <f t="shared" si="86"/>
        <v>0</v>
      </c>
      <c r="J326">
        <f t="shared" ref="J326" si="87">IF(hascolor(E322:E326,$E$6)=TRUE, 1, 0)</f>
        <v>1</v>
      </c>
    </row>
    <row r="327" spans="2:10" ht="17.25" thickBot="1" x14ac:dyDescent="0.35">
      <c r="B327" s="6" t="s">
        <v>64</v>
      </c>
      <c r="C327" s="6" t="s">
        <v>241</v>
      </c>
      <c r="D327" s="6" t="s">
        <v>881</v>
      </c>
      <c r="E327" s="13" t="s">
        <v>776</v>
      </c>
      <c r="F327" s="6" t="b">
        <f t="shared" si="83"/>
        <v>1</v>
      </c>
      <c r="G327" s="6">
        <f t="shared" si="84"/>
        <v>1</v>
      </c>
      <c r="H327" s="6" t="b">
        <f t="shared" si="85"/>
        <v>1</v>
      </c>
      <c r="I327" s="6">
        <f t="shared" si="86"/>
        <v>1</v>
      </c>
    </row>
    <row r="328" spans="2:10" ht="17.25" thickBot="1" x14ac:dyDescent="0.35">
      <c r="B328" s="4"/>
      <c r="C328" s="4" t="s">
        <v>242</v>
      </c>
      <c r="D328" s="4" t="s">
        <v>363</v>
      </c>
      <c r="E328" s="11" t="s">
        <v>777</v>
      </c>
      <c r="F328" s="6" t="b">
        <f t="shared" si="83"/>
        <v>1</v>
      </c>
      <c r="G328" s="6">
        <f t="shared" si="84"/>
        <v>1</v>
      </c>
      <c r="H328" s="6" t="b">
        <f t="shared" si="85"/>
        <v>1</v>
      </c>
      <c r="I328" s="6">
        <f t="shared" si="86"/>
        <v>1</v>
      </c>
    </row>
    <row r="329" spans="2:10" ht="17.25" thickBot="1" x14ac:dyDescent="0.35">
      <c r="B329" s="4"/>
      <c r="C329" s="4" t="s">
        <v>243</v>
      </c>
      <c r="D329" s="4" t="s">
        <v>243</v>
      </c>
      <c r="E329" s="14" t="s">
        <v>778</v>
      </c>
      <c r="F329" s="6" t="b">
        <f t="shared" si="83"/>
        <v>1</v>
      </c>
      <c r="G329" s="6">
        <f t="shared" si="84"/>
        <v>1</v>
      </c>
      <c r="H329" s="6" t="b">
        <f t="shared" si="85"/>
        <v>1</v>
      </c>
      <c r="I329" s="6">
        <f t="shared" si="86"/>
        <v>1</v>
      </c>
    </row>
    <row r="330" spans="2:10" ht="17.25" thickBot="1" x14ac:dyDescent="0.35">
      <c r="B330" s="4"/>
      <c r="C330" s="4"/>
      <c r="D330" s="4"/>
      <c r="E330" s="4" t="s">
        <v>779</v>
      </c>
      <c r="F330" s="6" t="b">
        <f t="shared" si="83"/>
        <v>0</v>
      </c>
      <c r="G330" s="6">
        <f t="shared" si="84"/>
        <v>0</v>
      </c>
      <c r="H330" s="6" t="b">
        <f t="shared" si="85"/>
        <v>0</v>
      </c>
      <c r="I330" s="6">
        <f t="shared" si="86"/>
        <v>0</v>
      </c>
    </row>
    <row r="331" spans="2:10" ht="17.25" thickBot="1" x14ac:dyDescent="0.35">
      <c r="B331" s="5"/>
      <c r="C331" s="5"/>
      <c r="D331" s="5"/>
      <c r="E331" s="5" t="s">
        <v>552</v>
      </c>
      <c r="F331" s="6" t="b">
        <f t="shared" si="83"/>
        <v>0</v>
      </c>
      <c r="G331" s="6">
        <f t="shared" si="84"/>
        <v>0</v>
      </c>
      <c r="H331" s="6" t="b">
        <f t="shared" si="85"/>
        <v>0</v>
      </c>
      <c r="I331" s="6">
        <f t="shared" si="86"/>
        <v>0</v>
      </c>
      <c r="J331">
        <f t="shared" ref="J331" si="88">IF(hascolor(E327:E331,$E$6)=TRUE, 1, 0)</f>
        <v>1</v>
      </c>
    </row>
    <row r="332" spans="2:10" ht="17.25" thickBot="1" x14ac:dyDescent="0.35">
      <c r="B332" s="6" t="s">
        <v>65</v>
      </c>
      <c r="C332" s="6" t="s">
        <v>244</v>
      </c>
      <c r="D332" s="6" t="s">
        <v>364</v>
      </c>
      <c r="E332" s="13" t="s">
        <v>780</v>
      </c>
      <c r="F332" s="6" t="b">
        <f t="shared" si="83"/>
        <v>1</v>
      </c>
      <c r="G332" s="6">
        <f t="shared" si="84"/>
        <v>1</v>
      </c>
      <c r="H332" s="6" t="b">
        <f t="shared" si="85"/>
        <v>1</v>
      </c>
      <c r="I332" s="6">
        <f t="shared" si="86"/>
        <v>1</v>
      </c>
    </row>
    <row r="333" spans="2:10" ht="17.25" thickBot="1" x14ac:dyDescent="0.35">
      <c r="B333" s="4"/>
      <c r="C333" s="4" t="s">
        <v>245</v>
      </c>
      <c r="D333" s="4" t="s">
        <v>245</v>
      </c>
      <c r="E333" s="11" t="s">
        <v>770</v>
      </c>
      <c r="F333" s="6" t="b">
        <f t="shared" si="83"/>
        <v>1</v>
      </c>
      <c r="G333" s="6">
        <f t="shared" si="84"/>
        <v>1</v>
      </c>
      <c r="H333" s="6" t="b">
        <f t="shared" si="85"/>
        <v>1</v>
      </c>
      <c r="I333" s="6">
        <f t="shared" si="86"/>
        <v>1</v>
      </c>
    </row>
    <row r="334" spans="2:10" ht="17.25" thickBot="1" x14ac:dyDescent="0.35">
      <c r="B334" s="4"/>
      <c r="C334" s="4" t="s">
        <v>246</v>
      </c>
      <c r="D334" s="4" t="s">
        <v>365</v>
      </c>
      <c r="E334" s="14" t="s">
        <v>781</v>
      </c>
      <c r="F334" s="6" t="b">
        <f t="shared" si="83"/>
        <v>1</v>
      </c>
      <c r="G334" s="6">
        <f t="shared" si="84"/>
        <v>1</v>
      </c>
      <c r="H334" s="6" t="b">
        <f t="shared" si="85"/>
        <v>1</v>
      </c>
      <c r="I334" s="6">
        <f t="shared" si="86"/>
        <v>1</v>
      </c>
    </row>
    <row r="335" spans="2:10" ht="17.25" thickBot="1" x14ac:dyDescent="0.35">
      <c r="B335" s="4"/>
      <c r="C335" s="4"/>
      <c r="D335" s="4" t="s">
        <v>361</v>
      </c>
      <c r="E335" s="4" t="s">
        <v>769</v>
      </c>
      <c r="F335" s="6" t="b">
        <f t="shared" si="83"/>
        <v>1</v>
      </c>
      <c r="G335" s="6">
        <f t="shared" si="84"/>
        <v>1</v>
      </c>
      <c r="H335" s="6" t="b">
        <f t="shared" si="85"/>
        <v>0</v>
      </c>
      <c r="I335" s="6">
        <f t="shared" si="86"/>
        <v>0</v>
      </c>
    </row>
    <row r="336" spans="2:10" ht="17.25" thickBot="1" x14ac:dyDescent="0.35">
      <c r="B336" s="5"/>
      <c r="C336" s="5"/>
      <c r="D336" s="5" t="s">
        <v>366</v>
      </c>
      <c r="E336" s="5" t="s">
        <v>549</v>
      </c>
      <c r="F336" s="6" t="b">
        <f t="shared" si="83"/>
        <v>1</v>
      </c>
      <c r="G336" s="6">
        <f t="shared" si="84"/>
        <v>1</v>
      </c>
      <c r="H336" s="6" t="b">
        <f t="shared" si="85"/>
        <v>0</v>
      </c>
      <c r="I336" s="6">
        <f t="shared" si="86"/>
        <v>0</v>
      </c>
      <c r="J336">
        <f t="shared" ref="J336" si="89">IF(hascolor(E332:E336,$E$6)=TRUE, 1, 0)</f>
        <v>1</v>
      </c>
    </row>
    <row r="337" spans="1:11" ht="17.25" thickBot="1" x14ac:dyDescent="0.35">
      <c r="B337" s="6" t="s">
        <v>66</v>
      </c>
      <c r="C337" s="6" t="s">
        <v>247</v>
      </c>
      <c r="D337" s="6" t="s">
        <v>357</v>
      </c>
      <c r="E337" s="6" t="s">
        <v>782</v>
      </c>
      <c r="F337" s="6" t="b">
        <f t="shared" si="83"/>
        <v>1</v>
      </c>
      <c r="G337" s="6">
        <f t="shared" si="84"/>
        <v>1</v>
      </c>
      <c r="H337" s="6" t="b">
        <f t="shared" si="85"/>
        <v>0</v>
      </c>
      <c r="I337" s="6">
        <f t="shared" si="86"/>
        <v>0</v>
      </c>
    </row>
    <row r="338" spans="1:11" ht="17.25" thickBot="1" x14ac:dyDescent="0.35">
      <c r="B338" s="4"/>
      <c r="C338" s="4"/>
      <c r="D338" s="4" t="s">
        <v>366</v>
      </c>
      <c r="E338" s="4" t="s">
        <v>770</v>
      </c>
      <c r="F338" s="6" t="b">
        <f t="shared" si="83"/>
        <v>1</v>
      </c>
      <c r="G338" s="6">
        <f t="shared" si="84"/>
        <v>1</v>
      </c>
      <c r="H338" s="6" t="b">
        <f t="shared" si="85"/>
        <v>0</v>
      </c>
      <c r="I338" s="6">
        <f t="shared" si="86"/>
        <v>0</v>
      </c>
    </row>
    <row r="339" spans="1:11" ht="17.25" thickBot="1" x14ac:dyDescent="0.35">
      <c r="B339" s="4"/>
      <c r="C339" s="4"/>
      <c r="D339" s="4"/>
      <c r="E339" s="14" t="s">
        <v>761</v>
      </c>
      <c r="F339" s="6" t="b">
        <f t="shared" si="83"/>
        <v>0</v>
      </c>
      <c r="G339" s="6">
        <f t="shared" si="84"/>
        <v>0</v>
      </c>
      <c r="H339" s="6" t="b">
        <f t="shared" si="85"/>
        <v>1</v>
      </c>
      <c r="I339" s="6">
        <f t="shared" si="86"/>
        <v>1</v>
      </c>
    </row>
    <row r="340" spans="1:11" ht="17.25" thickBot="1" x14ac:dyDescent="0.35">
      <c r="B340" s="4"/>
      <c r="C340" s="4"/>
      <c r="D340" s="4"/>
      <c r="E340" s="4" t="s">
        <v>766</v>
      </c>
      <c r="F340" s="6" t="b">
        <f t="shared" si="83"/>
        <v>0</v>
      </c>
      <c r="G340" s="6">
        <f t="shared" si="84"/>
        <v>0</v>
      </c>
      <c r="H340" s="6" t="b">
        <f t="shared" si="85"/>
        <v>0</v>
      </c>
      <c r="I340" s="6">
        <f t="shared" si="86"/>
        <v>0</v>
      </c>
    </row>
    <row r="341" spans="1:11" ht="17.25" thickBot="1" x14ac:dyDescent="0.35">
      <c r="B341" s="5"/>
      <c r="C341" s="5"/>
      <c r="D341" s="5"/>
      <c r="E341" s="5" t="s">
        <v>553</v>
      </c>
      <c r="F341" s="6" t="b">
        <f t="shared" si="83"/>
        <v>0</v>
      </c>
      <c r="G341" s="6">
        <f t="shared" si="84"/>
        <v>0</v>
      </c>
      <c r="H341" s="6" t="b">
        <f t="shared" si="85"/>
        <v>0</v>
      </c>
      <c r="I341" s="6">
        <f t="shared" si="86"/>
        <v>0</v>
      </c>
      <c r="J341">
        <f t="shared" ref="J341" si="90">IF(hascolor(E337:E341,$E$6)=TRUE, 1, 0)</f>
        <v>1</v>
      </c>
    </row>
    <row r="342" spans="1:11" ht="17.25" thickBot="1" x14ac:dyDescent="0.35">
      <c r="B342" s="6" t="s">
        <v>67</v>
      </c>
      <c r="C342" s="6" t="s">
        <v>248</v>
      </c>
      <c r="D342" s="6" t="s">
        <v>248</v>
      </c>
      <c r="E342" s="6" t="s">
        <v>783</v>
      </c>
      <c r="F342" s="6" t="b">
        <f t="shared" si="83"/>
        <v>1</v>
      </c>
      <c r="G342" s="6">
        <f t="shared" si="84"/>
        <v>1</v>
      </c>
      <c r="H342" s="6" t="b">
        <f t="shared" si="85"/>
        <v>0</v>
      </c>
      <c r="I342" s="6">
        <f t="shared" si="86"/>
        <v>0</v>
      </c>
    </row>
    <row r="343" spans="1:11" ht="17.25" thickBot="1" x14ac:dyDescent="0.35">
      <c r="B343" s="4"/>
      <c r="C343" s="4" t="s">
        <v>249</v>
      </c>
      <c r="D343" s="4" t="s">
        <v>249</v>
      </c>
      <c r="E343" s="11" t="s">
        <v>784</v>
      </c>
      <c r="F343" s="6" t="b">
        <f t="shared" si="83"/>
        <v>1</v>
      </c>
      <c r="G343" s="6">
        <f t="shared" si="84"/>
        <v>1</v>
      </c>
      <c r="H343" s="6" t="b">
        <f t="shared" si="85"/>
        <v>1</v>
      </c>
      <c r="I343" s="6">
        <f t="shared" si="86"/>
        <v>1</v>
      </c>
    </row>
    <row r="344" spans="1:11" ht="17.25" thickBot="1" x14ac:dyDescent="0.35">
      <c r="B344" s="4"/>
      <c r="C344" s="4" t="s">
        <v>250</v>
      </c>
      <c r="D344" s="4" t="s">
        <v>250</v>
      </c>
      <c r="E344" s="14" t="s">
        <v>785</v>
      </c>
      <c r="F344" s="6" t="b">
        <f t="shared" si="83"/>
        <v>1</v>
      </c>
      <c r="G344" s="6">
        <f t="shared" si="84"/>
        <v>1</v>
      </c>
      <c r="H344" s="6" t="b">
        <f t="shared" si="85"/>
        <v>1</v>
      </c>
      <c r="I344" s="6">
        <f t="shared" si="86"/>
        <v>1</v>
      </c>
    </row>
    <row r="345" spans="1:11" ht="17.25" thickBot="1" x14ac:dyDescent="0.35">
      <c r="B345" s="4"/>
      <c r="C345" s="4"/>
      <c r="D345" s="4"/>
      <c r="E345" s="4" t="s">
        <v>786</v>
      </c>
      <c r="F345" s="6" t="b">
        <f t="shared" si="83"/>
        <v>0</v>
      </c>
      <c r="G345" s="6">
        <f t="shared" si="84"/>
        <v>0</v>
      </c>
      <c r="H345" s="6" t="b">
        <f t="shared" si="85"/>
        <v>0</v>
      </c>
      <c r="I345" s="6">
        <f t="shared" si="86"/>
        <v>0</v>
      </c>
    </row>
    <row r="346" spans="1:11" ht="17.25" thickBot="1" x14ac:dyDescent="0.35">
      <c r="B346" s="5"/>
      <c r="C346" s="5"/>
      <c r="D346" s="5"/>
      <c r="E346" s="5" t="s">
        <v>554</v>
      </c>
      <c r="F346" s="6" t="b">
        <f t="shared" si="83"/>
        <v>0</v>
      </c>
      <c r="G346" s="6">
        <f t="shared" si="84"/>
        <v>0</v>
      </c>
      <c r="H346" s="6" t="b">
        <f t="shared" si="85"/>
        <v>0</v>
      </c>
      <c r="I346" s="6">
        <f t="shared" si="86"/>
        <v>0</v>
      </c>
      <c r="J346">
        <f t="shared" ref="J346" si="91">IF(hascolor(E342:E346,$E$6)=TRUE, 1, 0)</f>
        <v>1</v>
      </c>
    </row>
    <row r="347" spans="1:11" ht="17.25" thickBot="1" x14ac:dyDescent="0.35">
      <c r="B347" s="6" t="s">
        <v>68</v>
      </c>
      <c r="C347" s="6" t="s">
        <v>251</v>
      </c>
      <c r="D347" s="6" t="s">
        <v>367</v>
      </c>
      <c r="E347" s="13" t="s">
        <v>787</v>
      </c>
      <c r="F347" s="6" t="b">
        <f t="shared" si="83"/>
        <v>1</v>
      </c>
      <c r="G347" s="6">
        <f t="shared" si="84"/>
        <v>1</v>
      </c>
      <c r="H347" s="6" t="b">
        <f t="shared" si="85"/>
        <v>1</v>
      </c>
      <c r="I347" s="6">
        <f t="shared" si="86"/>
        <v>1</v>
      </c>
    </row>
    <row r="348" spans="1:11" ht="17.25" thickBot="1" x14ac:dyDescent="0.35">
      <c r="B348" s="4"/>
      <c r="C348" s="4" t="s">
        <v>252</v>
      </c>
      <c r="D348" s="4" t="s">
        <v>368</v>
      </c>
      <c r="E348" s="11" t="s">
        <v>788</v>
      </c>
      <c r="F348" s="6" t="b">
        <f t="shared" si="83"/>
        <v>1</v>
      </c>
      <c r="G348" s="6">
        <f t="shared" si="84"/>
        <v>1</v>
      </c>
      <c r="H348" s="6" t="b">
        <f t="shared" si="85"/>
        <v>1</v>
      </c>
      <c r="I348" s="6">
        <f t="shared" si="86"/>
        <v>1</v>
      </c>
    </row>
    <row r="349" spans="1:11" ht="17.25" thickBot="1" x14ac:dyDescent="0.35">
      <c r="B349" s="4"/>
      <c r="C349" s="4"/>
      <c r="D349" s="4"/>
      <c r="E349" t="s">
        <v>765</v>
      </c>
      <c r="F349" s="6" t="b">
        <f t="shared" si="83"/>
        <v>0</v>
      </c>
      <c r="G349" s="6">
        <f t="shared" si="84"/>
        <v>0</v>
      </c>
      <c r="H349" s="6" t="b">
        <f t="shared" si="85"/>
        <v>0</v>
      </c>
      <c r="I349" s="6">
        <f t="shared" si="86"/>
        <v>0</v>
      </c>
    </row>
    <row r="350" spans="1:11" ht="17.25" thickBot="1" x14ac:dyDescent="0.35">
      <c r="B350" s="4"/>
      <c r="C350" s="4"/>
      <c r="D350" s="4"/>
      <c r="E350" s="4" t="s">
        <v>789</v>
      </c>
      <c r="F350" s="6" t="b">
        <f t="shared" si="83"/>
        <v>0</v>
      </c>
      <c r="G350" s="6">
        <f t="shared" si="84"/>
        <v>0</v>
      </c>
      <c r="H350" s="6" t="b">
        <f t="shared" si="85"/>
        <v>0</v>
      </c>
      <c r="I350" s="6">
        <f t="shared" si="86"/>
        <v>0</v>
      </c>
    </row>
    <row r="351" spans="1:11" ht="17.25" thickBot="1" x14ac:dyDescent="0.35">
      <c r="B351" s="5"/>
      <c r="C351" s="5"/>
      <c r="D351" s="5"/>
      <c r="E351" s="5" t="s">
        <v>555</v>
      </c>
      <c r="F351" s="6" t="b">
        <f t="shared" si="83"/>
        <v>0</v>
      </c>
      <c r="G351" s="6">
        <f t="shared" si="84"/>
        <v>0</v>
      </c>
      <c r="H351" s="6" t="b">
        <f t="shared" si="85"/>
        <v>0</v>
      </c>
      <c r="I351" s="6">
        <f t="shared" si="86"/>
        <v>0</v>
      </c>
      <c r="J351">
        <f t="shared" ref="J351" si="92">IF(hascolor(E347:E351,$E$6)=TRUE, 1, 0)</f>
        <v>1</v>
      </c>
      <c r="K351">
        <f>SUM(J302:J351)</f>
        <v>10</v>
      </c>
    </row>
    <row r="352" spans="1:11" ht="17.25" thickBot="1" x14ac:dyDescent="0.35">
      <c r="A352" s="2" t="s">
        <v>115</v>
      </c>
      <c r="B352" s="6" t="s">
        <v>6</v>
      </c>
      <c r="C352" s="6" t="s">
        <v>253</v>
      </c>
      <c r="D352" s="6" t="s">
        <v>369</v>
      </c>
      <c r="E352" s="13" t="s">
        <v>790</v>
      </c>
      <c r="F352" s="6" t="b">
        <f t="shared" si="83"/>
        <v>1</v>
      </c>
      <c r="G352" s="6">
        <f t="shared" si="84"/>
        <v>1</v>
      </c>
      <c r="H352" s="6" t="b">
        <f t="shared" si="85"/>
        <v>1</v>
      </c>
      <c r="I352" s="6">
        <f t="shared" si="86"/>
        <v>1</v>
      </c>
    </row>
    <row r="353" spans="2:10" ht="17.25" thickBot="1" x14ac:dyDescent="0.35">
      <c r="B353" s="4"/>
      <c r="C353" s="4" t="s">
        <v>254</v>
      </c>
      <c r="D353" s="4" t="s">
        <v>399</v>
      </c>
      <c r="E353" s="11" t="s">
        <v>791</v>
      </c>
      <c r="F353" s="6" t="b">
        <f t="shared" si="83"/>
        <v>1</v>
      </c>
      <c r="G353" s="6">
        <f t="shared" si="84"/>
        <v>1</v>
      </c>
      <c r="H353" s="6" t="b">
        <f t="shared" si="85"/>
        <v>1</v>
      </c>
      <c r="I353" s="6">
        <f t="shared" si="86"/>
        <v>1</v>
      </c>
    </row>
    <row r="354" spans="2:10" ht="17.25" thickBot="1" x14ac:dyDescent="0.35">
      <c r="B354" s="4"/>
      <c r="C354" s="4" t="s">
        <v>255</v>
      </c>
      <c r="D354" s="4"/>
      <c r="E354" t="s">
        <v>792</v>
      </c>
      <c r="F354" s="6" t="b">
        <f t="shared" si="83"/>
        <v>0</v>
      </c>
      <c r="G354" s="6">
        <f t="shared" si="84"/>
        <v>0</v>
      </c>
      <c r="H354" s="6" t="b">
        <f t="shared" si="85"/>
        <v>0</v>
      </c>
      <c r="I354" s="6">
        <f t="shared" si="86"/>
        <v>0</v>
      </c>
    </row>
    <row r="355" spans="2:10" ht="17.25" thickBot="1" x14ac:dyDescent="0.35">
      <c r="B355" s="4"/>
      <c r="C355" s="4"/>
      <c r="D355" s="4"/>
      <c r="E355" s="4" t="s">
        <v>793</v>
      </c>
      <c r="F355" s="6" t="b">
        <f t="shared" si="83"/>
        <v>0</v>
      </c>
      <c r="G355" s="6">
        <f t="shared" si="84"/>
        <v>0</v>
      </c>
      <c r="H355" s="6" t="b">
        <f t="shared" si="85"/>
        <v>0</v>
      </c>
      <c r="I355" s="6">
        <f t="shared" si="86"/>
        <v>0</v>
      </c>
    </row>
    <row r="356" spans="2:10" ht="17.25" thickBot="1" x14ac:dyDescent="0.35">
      <c r="B356" s="5"/>
      <c r="C356" s="5"/>
      <c r="D356" s="5"/>
      <c r="E356" s="5" t="s">
        <v>476</v>
      </c>
      <c r="F356" s="6" t="b">
        <f t="shared" si="83"/>
        <v>0</v>
      </c>
      <c r="G356" s="6">
        <f t="shared" si="84"/>
        <v>0</v>
      </c>
      <c r="H356" s="6" t="b">
        <f t="shared" si="85"/>
        <v>0</v>
      </c>
      <c r="I356" s="6">
        <f t="shared" si="86"/>
        <v>0</v>
      </c>
      <c r="J356">
        <f t="shared" ref="J356" si="93">IF(hascolor(E352:E356,$E$6)=TRUE, 1, 0)</f>
        <v>1</v>
      </c>
    </row>
    <row r="357" spans="2:10" ht="17.25" thickBot="1" x14ac:dyDescent="0.35">
      <c r="B357" s="6" t="s">
        <v>69</v>
      </c>
      <c r="C357" s="6" t="s">
        <v>256</v>
      </c>
      <c r="D357" s="6" t="s">
        <v>369</v>
      </c>
      <c r="E357" s="13" t="s">
        <v>791</v>
      </c>
      <c r="F357" s="6" t="b">
        <f t="shared" si="83"/>
        <v>1</v>
      </c>
      <c r="G357" s="6">
        <f t="shared" si="84"/>
        <v>1</v>
      </c>
      <c r="H357" s="6" t="b">
        <f t="shared" si="85"/>
        <v>1</v>
      </c>
      <c r="I357" s="6">
        <f t="shared" si="86"/>
        <v>1</v>
      </c>
    </row>
    <row r="358" spans="2:10" ht="17.25" thickBot="1" x14ac:dyDescent="0.35">
      <c r="B358" s="4"/>
      <c r="C358" s="4" t="s">
        <v>257</v>
      </c>
      <c r="D358" s="4" t="s">
        <v>398</v>
      </c>
      <c r="E358" s="11" t="s">
        <v>790</v>
      </c>
      <c r="F358" s="6" t="b">
        <f t="shared" si="83"/>
        <v>1</v>
      </c>
      <c r="G358" s="6">
        <f t="shared" si="84"/>
        <v>1</v>
      </c>
      <c r="H358" s="6" t="b">
        <f t="shared" si="85"/>
        <v>1</v>
      </c>
      <c r="I358" s="6">
        <f t="shared" si="86"/>
        <v>1</v>
      </c>
    </row>
    <row r="359" spans="2:10" ht="17.25" thickBot="1" x14ac:dyDescent="0.35">
      <c r="B359" s="4"/>
      <c r="C359" s="4" t="s">
        <v>258</v>
      </c>
      <c r="E359" t="s">
        <v>793</v>
      </c>
      <c r="F359" s="6" t="b">
        <f t="shared" si="83"/>
        <v>0</v>
      </c>
      <c r="G359" s="6">
        <f t="shared" si="84"/>
        <v>0</v>
      </c>
      <c r="H359" s="6" t="b">
        <f t="shared" si="85"/>
        <v>0</v>
      </c>
      <c r="I359" s="6">
        <f t="shared" si="86"/>
        <v>0</v>
      </c>
    </row>
    <row r="360" spans="2:10" ht="17.25" thickBot="1" x14ac:dyDescent="0.35">
      <c r="B360" s="4"/>
      <c r="C360" s="4" t="s">
        <v>259</v>
      </c>
      <c r="D360" s="4"/>
      <c r="E360" s="4" t="s">
        <v>794</v>
      </c>
      <c r="F360" s="6" t="b">
        <f t="shared" si="83"/>
        <v>0</v>
      </c>
      <c r="G360" s="6">
        <f t="shared" si="84"/>
        <v>0</v>
      </c>
      <c r="H360" s="6" t="b">
        <f t="shared" si="85"/>
        <v>0</v>
      </c>
      <c r="I360" s="6">
        <f t="shared" si="86"/>
        <v>0</v>
      </c>
    </row>
    <row r="361" spans="2:10" ht="17.25" thickBot="1" x14ac:dyDescent="0.35">
      <c r="B361" s="5"/>
      <c r="C361" s="5"/>
      <c r="D361" s="5"/>
      <c r="E361" s="5" t="s">
        <v>493</v>
      </c>
      <c r="F361" s="6" t="b">
        <f t="shared" si="83"/>
        <v>0</v>
      </c>
      <c r="G361" s="6">
        <f t="shared" si="84"/>
        <v>0</v>
      </c>
      <c r="H361" s="6" t="b">
        <f t="shared" si="85"/>
        <v>0</v>
      </c>
      <c r="I361" s="6">
        <f t="shared" si="86"/>
        <v>0</v>
      </c>
      <c r="J361">
        <f t="shared" ref="J361" si="94">IF(hascolor(E357:E361,$E$6)=TRUE, 1, 0)</f>
        <v>1</v>
      </c>
    </row>
    <row r="362" spans="2:10" ht="17.25" thickBot="1" x14ac:dyDescent="0.35">
      <c r="B362" s="6" t="s">
        <v>7</v>
      </c>
      <c r="C362" s="6" t="s">
        <v>260</v>
      </c>
      <c r="D362" s="6" t="s">
        <v>370</v>
      </c>
      <c r="E362" s="13" t="s">
        <v>795</v>
      </c>
      <c r="F362" s="6" t="b">
        <f t="shared" si="83"/>
        <v>1</v>
      </c>
      <c r="G362" s="6">
        <f t="shared" si="84"/>
        <v>1</v>
      </c>
      <c r="H362" s="6" t="b">
        <f t="shared" si="85"/>
        <v>1</v>
      </c>
      <c r="I362" s="6">
        <f t="shared" si="86"/>
        <v>1</v>
      </c>
    </row>
    <row r="363" spans="2:10" ht="17.25" thickBot="1" x14ac:dyDescent="0.35">
      <c r="B363" s="4"/>
      <c r="C363" s="4" t="s">
        <v>261</v>
      </c>
      <c r="D363" s="4" t="s">
        <v>397</v>
      </c>
      <c r="E363" s="4" t="s">
        <v>796</v>
      </c>
      <c r="F363" s="6" t="b">
        <f t="shared" si="83"/>
        <v>1</v>
      </c>
      <c r="G363" s="6">
        <f t="shared" si="84"/>
        <v>1</v>
      </c>
      <c r="H363" s="6" t="b">
        <f t="shared" si="85"/>
        <v>0</v>
      </c>
      <c r="I363" s="6">
        <f t="shared" si="86"/>
        <v>0</v>
      </c>
    </row>
    <row r="364" spans="2:10" ht="17.25" thickBot="1" x14ac:dyDescent="0.35">
      <c r="B364" s="4"/>
      <c r="C364" s="4" t="s">
        <v>262</v>
      </c>
      <c r="D364" s="4"/>
      <c r="E364" t="s">
        <v>797</v>
      </c>
      <c r="F364" s="6" t="b">
        <f t="shared" si="83"/>
        <v>0</v>
      </c>
      <c r="G364" s="6">
        <f t="shared" si="84"/>
        <v>0</v>
      </c>
      <c r="H364" s="6" t="b">
        <f t="shared" si="85"/>
        <v>0</v>
      </c>
      <c r="I364" s="6">
        <f t="shared" si="86"/>
        <v>0</v>
      </c>
    </row>
    <row r="365" spans="2:10" ht="17.25" thickBot="1" x14ac:dyDescent="0.35">
      <c r="B365" s="4"/>
      <c r="C365" s="4"/>
      <c r="D365" s="4"/>
      <c r="E365" s="4" t="s">
        <v>798</v>
      </c>
      <c r="F365" s="6" t="b">
        <f t="shared" si="83"/>
        <v>0</v>
      </c>
      <c r="G365" s="6">
        <f t="shared" si="84"/>
        <v>0</v>
      </c>
      <c r="H365" s="6" t="b">
        <f t="shared" si="85"/>
        <v>0</v>
      </c>
      <c r="I365" s="6">
        <f t="shared" si="86"/>
        <v>0</v>
      </c>
    </row>
    <row r="366" spans="2:10" ht="17.25" thickBot="1" x14ac:dyDescent="0.35">
      <c r="B366" s="5"/>
      <c r="C366" s="5"/>
      <c r="D366" s="5"/>
      <c r="E366" s="12" t="s">
        <v>477</v>
      </c>
      <c r="F366" s="6" t="b">
        <f t="shared" si="83"/>
        <v>0</v>
      </c>
      <c r="G366" s="6">
        <f t="shared" si="84"/>
        <v>0</v>
      </c>
      <c r="H366" s="6" t="b">
        <f t="shared" si="85"/>
        <v>1</v>
      </c>
      <c r="I366" s="6">
        <f t="shared" si="86"/>
        <v>1</v>
      </c>
      <c r="J366">
        <f t="shared" ref="J366" si="95">IF(hascolor(E362:E366,$E$6)=TRUE, 1, 0)</f>
        <v>1</v>
      </c>
    </row>
    <row r="367" spans="2:10" ht="17.25" thickBot="1" x14ac:dyDescent="0.35">
      <c r="B367" s="6" t="s">
        <v>8</v>
      </c>
      <c r="C367" s="6" t="s">
        <v>263</v>
      </c>
      <c r="D367" s="6" t="s">
        <v>371</v>
      </c>
      <c r="E367" s="13" t="s">
        <v>799</v>
      </c>
      <c r="F367" s="6" t="b">
        <f t="shared" si="83"/>
        <v>1</v>
      </c>
      <c r="G367" s="6">
        <f t="shared" si="84"/>
        <v>1</v>
      </c>
      <c r="H367" s="6" t="b">
        <f t="shared" si="85"/>
        <v>1</v>
      </c>
      <c r="I367" s="6">
        <f t="shared" si="86"/>
        <v>1</v>
      </c>
    </row>
    <row r="368" spans="2:10" ht="17.25" thickBot="1" x14ac:dyDescent="0.35">
      <c r="B368" s="4"/>
      <c r="C368" s="4" t="s">
        <v>264</v>
      </c>
      <c r="D368" s="4" t="s">
        <v>396</v>
      </c>
      <c r="E368" s="11" t="s">
        <v>800</v>
      </c>
      <c r="F368" s="6" t="b">
        <f t="shared" si="83"/>
        <v>1</v>
      </c>
      <c r="G368" s="6">
        <f t="shared" si="84"/>
        <v>1</v>
      </c>
      <c r="H368" s="6" t="b">
        <f t="shared" si="85"/>
        <v>1</v>
      </c>
      <c r="I368" s="6">
        <f t="shared" si="86"/>
        <v>1</v>
      </c>
    </row>
    <row r="369" spans="2:10" ht="17.25" thickBot="1" x14ac:dyDescent="0.35">
      <c r="B369" s="4"/>
      <c r="C369" s="4" t="s">
        <v>265</v>
      </c>
      <c r="D369" s="4"/>
      <c r="E369" t="s">
        <v>791</v>
      </c>
      <c r="F369" s="6" t="b">
        <f t="shared" si="83"/>
        <v>0</v>
      </c>
      <c r="G369" s="6">
        <f t="shared" si="84"/>
        <v>0</v>
      </c>
      <c r="H369" s="6" t="b">
        <f t="shared" si="85"/>
        <v>0</v>
      </c>
      <c r="I369" s="6">
        <f t="shared" si="86"/>
        <v>0</v>
      </c>
    </row>
    <row r="370" spans="2:10" ht="17.25" thickBot="1" x14ac:dyDescent="0.35">
      <c r="B370" s="4"/>
      <c r="C370" s="4" t="s">
        <v>266</v>
      </c>
      <c r="E370" s="4" t="s">
        <v>797</v>
      </c>
      <c r="F370" s="6" t="b">
        <f t="shared" si="83"/>
        <v>0</v>
      </c>
      <c r="G370" s="6">
        <f t="shared" si="84"/>
        <v>0</v>
      </c>
      <c r="H370" s="6" t="b">
        <f t="shared" si="85"/>
        <v>0</v>
      </c>
      <c r="I370" s="6">
        <f t="shared" si="86"/>
        <v>0</v>
      </c>
    </row>
    <row r="371" spans="2:10" ht="17.25" thickBot="1" x14ac:dyDescent="0.35">
      <c r="B371" s="5"/>
      <c r="C371" s="5"/>
      <c r="D371" s="5"/>
      <c r="E371" s="5" t="s">
        <v>495</v>
      </c>
      <c r="F371" s="6" t="b">
        <f t="shared" si="83"/>
        <v>0</v>
      </c>
      <c r="G371" s="6">
        <f t="shared" si="84"/>
        <v>0</v>
      </c>
      <c r="H371" s="6" t="b">
        <f t="shared" si="85"/>
        <v>0</v>
      </c>
      <c r="I371" s="6">
        <f t="shared" si="86"/>
        <v>0</v>
      </c>
      <c r="J371">
        <f t="shared" ref="J371" si="96">IF(hascolor(E367:E371,$E$6)=TRUE, 1, 0)</f>
        <v>1</v>
      </c>
    </row>
    <row r="372" spans="2:10" ht="17.25" thickBot="1" x14ac:dyDescent="0.35">
      <c r="B372" s="6" t="s">
        <v>70</v>
      </c>
      <c r="C372" s="6" t="s">
        <v>267</v>
      </c>
      <c r="D372" s="6" t="s">
        <v>372</v>
      </c>
      <c r="E372" s="13" t="s">
        <v>801</v>
      </c>
      <c r="F372" s="6" t="b">
        <f t="shared" si="83"/>
        <v>1</v>
      </c>
      <c r="G372" s="6">
        <f t="shared" si="84"/>
        <v>1</v>
      </c>
      <c r="H372" s="6" t="b">
        <f t="shared" si="85"/>
        <v>1</v>
      </c>
      <c r="I372" s="6">
        <f t="shared" si="86"/>
        <v>1</v>
      </c>
    </row>
    <row r="373" spans="2:10" ht="17.25" thickBot="1" x14ac:dyDescent="0.35">
      <c r="B373" s="4"/>
      <c r="C373" s="4" t="s">
        <v>268</v>
      </c>
      <c r="D373" s="4" t="s">
        <v>395</v>
      </c>
      <c r="E373" s="11" t="s">
        <v>802</v>
      </c>
      <c r="F373" s="6" t="b">
        <f t="shared" si="83"/>
        <v>1</v>
      </c>
      <c r="G373" s="6">
        <f t="shared" si="84"/>
        <v>1</v>
      </c>
      <c r="H373" s="6" t="b">
        <f t="shared" si="85"/>
        <v>1</v>
      </c>
      <c r="I373" s="6">
        <f t="shared" si="86"/>
        <v>1</v>
      </c>
    </row>
    <row r="374" spans="2:10" ht="17.25" thickBot="1" x14ac:dyDescent="0.35">
      <c r="B374" s="4"/>
      <c r="C374" s="4" t="s">
        <v>269</v>
      </c>
      <c r="E374" t="s">
        <v>803</v>
      </c>
      <c r="F374" s="6" t="b">
        <f t="shared" si="83"/>
        <v>0</v>
      </c>
      <c r="G374" s="6">
        <f t="shared" si="84"/>
        <v>0</v>
      </c>
      <c r="H374" s="6" t="b">
        <f t="shared" si="85"/>
        <v>0</v>
      </c>
      <c r="I374" s="6">
        <f t="shared" si="86"/>
        <v>0</v>
      </c>
    </row>
    <row r="375" spans="2:10" ht="17.25" thickBot="1" x14ac:dyDescent="0.35">
      <c r="B375" s="4"/>
      <c r="C375" s="4"/>
      <c r="D375" s="4"/>
      <c r="E375" s="4" t="s">
        <v>798</v>
      </c>
      <c r="F375" s="6" t="b">
        <f t="shared" si="83"/>
        <v>0</v>
      </c>
      <c r="G375" s="6">
        <f t="shared" si="84"/>
        <v>0</v>
      </c>
      <c r="H375" s="6" t="b">
        <f t="shared" si="85"/>
        <v>0</v>
      </c>
      <c r="I375" s="6">
        <f t="shared" si="86"/>
        <v>0</v>
      </c>
    </row>
    <row r="376" spans="2:10" ht="17.25" thickBot="1" x14ac:dyDescent="0.35">
      <c r="B376" s="5"/>
      <c r="C376" s="5"/>
      <c r="D376" s="5"/>
      <c r="E376" s="5" t="s">
        <v>478</v>
      </c>
      <c r="F376" s="6" t="b">
        <f t="shared" si="83"/>
        <v>0</v>
      </c>
      <c r="G376" s="6">
        <f t="shared" si="84"/>
        <v>0</v>
      </c>
      <c r="H376" s="6" t="b">
        <f t="shared" si="85"/>
        <v>0</v>
      </c>
      <c r="I376" s="6">
        <f t="shared" si="86"/>
        <v>0</v>
      </c>
      <c r="J376">
        <f t="shared" ref="J376" si="97">IF(hascolor(E372:E376,$E$6)=TRUE, 1, 0)</f>
        <v>1</v>
      </c>
    </row>
    <row r="377" spans="2:10" ht="17.25" thickBot="1" x14ac:dyDescent="0.35">
      <c r="B377" s="6" t="s">
        <v>71</v>
      </c>
      <c r="C377" s="6" t="s">
        <v>270</v>
      </c>
      <c r="D377" s="6" t="s">
        <v>373</v>
      </c>
      <c r="E377" s="13" t="s">
        <v>804</v>
      </c>
      <c r="F377" s="6" t="b">
        <f t="shared" si="83"/>
        <v>1</v>
      </c>
      <c r="G377" s="6">
        <f t="shared" si="84"/>
        <v>1</v>
      </c>
      <c r="H377" s="6" t="b">
        <f t="shared" si="85"/>
        <v>1</v>
      </c>
      <c r="I377" s="6">
        <f t="shared" si="86"/>
        <v>1</v>
      </c>
    </row>
    <row r="378" spans="2:10" ht="17.25" thickBot="1" x14ac:dyDescent="0.35">
      <c r="B378" s="4"/>
      <c r="C378" s="4" t="s">
        <v>271</v>
      </c>
      <c r="D378" s="4" t="s">
        <v>394</v>
      </c>
      <c r="E378" s="4" t="s">
        <v>805</v>
      </c>
      <c r="F378" s="6" t="b">
        <f t="shared" si="83"/>
        <v>1</v>
      </c>
      <c r="G378" s="6">
        <f t="shared" si="84"/>
        <v>1</v>
      </c>
      <c r="H378" s="6" t="b">
        <f t="shared" si="85"/>
        <v>0</v>
      </c>
      <c r="I378" s="6">
        <f t="shared" si="86"/>
        <v>0</v>
      </c>
    </row>
    <row r="379" spans="2:10" ht="17.25" thickBot="1" x14ac:dyDescent="0.35">
      <c r="B379" s="4"/>
      <c r="C379" s="4"/>
      <c r="D379" s="4"/>
      <c r="E379" t="s">
        <v>806</v>
      </c>
      <c r="F379" s="6" t="b">
        <f t="shared" si="83"/>
        <v>0</v>
      </c>
      <c r="G379" s="6">
        <f t="shared" si="84"/>
        <v>0</v>
      </c>
      <c r="H379" s="6" t="b">
        <f t="shared" si="85"/>
        <v>0</v>
      </c>
      <c r="I379" s="6">
        <f t="shared" si="86"/>
        <v>0</v>
      </c>
    </row>
    <row r="380" spans="2:10" ht="17.25" thickBot="1" x14ac:dyDescent="0.35">
      <c r="B380" s="4"/>
      <c r="C380" s="4"/>
      <c r="D380" s="4"/>
      <c r="E380" s="4" t="s">
        <v>807</v>
      </c>
      <c r="F380" s="6" t="b">
        <f t="shared" si="83"/>
        <v>0</v>
      </c>
      <c r="G380" s="6">
        <f t="shared" si="84"/>
        <v>0</v>
      </c>
      <c r="H380" s="6" t="b">
        <f t="shared" si="85"/>
        <v>0</v>
      </c>
      <c r="I380" s="6">
        <f t="shared" si="86"/>
        <v>0</v>
      </c>
    </row>
    <row r="381" spans="2:10" ht="17.25" thickBot="1" x14ac:dyDescent="0.35">
      <c r="B381" s="5"/>
      <c r="C381" s="5"/>
      <c r="D381" s="5"/>
      <c r="E381" s="5" t="s">
        <v>479</v>
      </c>
      <c r="F381" s="6" t="b">
        <f t="shared" si="83"/>
        <v>0</v>
      </c>
      <c r="G381" s="6">
        <f t="shared" si="84"/>
        <v>0</v>
      </c>
      <c r="H381" s="6" t="b">
        <f t="shared" si="85"/>
        <v>0</v>
      </c>
      <c r="I381" s="6">
        <f t="shared" si="86"/>
        <v>0</v>
      </c>
      <c r="J381">
        <f t="shared" ref="J381" si="98">IF(hascolor(E377:E381,$E$6)=TRUE, 1, 0)</f>
        <v>1</v>
      </c>
    </row>
    <row r="382" spans="2:10" ht="17.25" thickBot="1" x14ac:dyDescent="0.35">
      <c r="B382" s="6" t="s">
        <v>72</v>
      </c>
      <c r="C382" s="6" t="s">
        <v>272</v>
      </c>
      <c r="D382" s="6" t="s">
        <v>374</v>
      </c>
      <c r="E382" s="13" t="s">
        <v>808</v>
      </c>
      <c r="F382" s="6" t="b">
        <f t="shared" si="83"/>
        <v>1</v>
      </c>
      <c r="G382" s="6">
        <f t="shared" si="84"/>
        <v>1</v>
      </c>
      <c r="H382" s="6" t="b">
        <f t="shared" si="85"/>
        <v>1</v>
      </c>
      <c r="I382" s="6">
        <f t="shared" si="86"/>
        <v>1</v>
      </c>
    </row>
    <row r="383" spans="2:10" ht="17.25" thickBot="1" x14ac:dyDescent="0.35">
      <c r="B383" s="4"/>
      <c r="C383" s="4"/>
      <c r="D383" s="4"/>
      <c r="E383" s="4" t="s">
        <v>809</v>
      </c>
      <c r="F383" s="6" t="b">
        <f t="shared" si="83"/>
        <v>0</v>
      </c>
      <c r="G383" s="6">
        <f t="shared" si="84"/>
        <v>0</v>
      </c>
      <c r="H383" s="6" t="b">
        <f t="shared" si="85"/>
        <v>0</v>
      </c>
      <c r="I383" s="6">
        <f t="shared" si="86"/>
        <v>0</v>
      </c>
    </row>
    <row r="384" spans="2:10" ht="17.25" thickBot="1" x14ac:dyDescent="0.35">
      <c r="B384" s="4"/>
      <c r="C384" s="4"/>
      <c r="D384" s="4"/>
      <c r="E384" t="s">
        <v>810</v>
      </c>
      <c r="F384" s="6" t="b">
        <f t="shared" si="83"/>
        <v>0</v>
      </c>
      <c r="G384" s="6">
        <f t="shared" si="84"/>
        <v>0</v>
      </c>
      <c r="H384" s="6" t="b">
        <f t="shared" si="85"/>
        <v>0</v>
      </c>
      <c r="I384" s="6">
        <f t="shared" si="86"/>
        <v>0</v>
      </c>
    </row>
    <row r="385" spans="2:10" ht="17.25" thickBot="1" x14ac:dyDescent="0.35">
      <c r="B385" s="4"/>
      <c r="C385" s="4"/>
      <c r="D385" s="4"/>
      <c r="E385" s="4" t="s">
        <v>811</v>
      </c>
      <c r="F385" s="6" t="b">
        <f t="shared" si="83"/>
        <v>0</v>
      </c>
      <c r="G385" s="6">
        <f t="shared" si="84"/>
        <v>0</v>
      </c>
      <c r="H385" s="6" t="b">
        <f t="shared" si="85"/>
        <v>0</v>
      </c>
      <c r="I385" s="6">
        <f t="shared" si="86"/>
        <v>0</v>
      </c>
    </row>
    <row r="386" spans="2:10" ht="17.25" thickBot="1" x14ac:dyDescent="0.35">
      <c r="B386" s="5"/>
      <c r="C386" s="5"/>
      <c r="D386" s="5"/>
      <c r="E386" s="5" t="s">
        <v>480</v>
      </c>
      <c r="F386" s="6" t="b">
        <f t="shared" si="83"/>
        <v>0</v>
      </c>
      <c r="G386" s="6">
        <f t="shared" si="84"/>
        <v>0</v>
      </c>
      <c r="H386" s="6" t="b">
        <f t="shared" si="85"/>
        <v>0</v>
      </c>
      <c r="I386" s="6">
        <f t="shared" si="86"/>
        <v>0</v>
      </c>
      <c r="J386">
        <f t="shared" ref="J386" si="99">IF(hascolor(E382:E386,$E$6)=TRUE, 1, 0)</f>
        <v>1</v>
      </c>
    </row>
    <row r="387" spans="2:10" ht="17.25" thickBot="1" x14ac:dyDescent="0.35">
      <c r="B387" s="6" t="s">
        <v>9</v>
      </c>
      <c r="C387" s="6" t="s">
        <v>273</v>
      </c>
      <c r="D387" s="6" t="s">
        <v>273</v>
      </c>
      <c r="E387" s="13" t="s">
        <v>812</v>
      </c>
      <c r="F387" s="6" t="b">
        <f t="shared" ref="F387:F450" si="100">NOT(ISBLANK(D387))</f>
        <v>1</v>
      </c>
      <c r="G387" s="6">
        <f t="shared" ref="G387:G450" si="101">IF(F387=TRUE, 1, 0)</f>
        <v>1</v>
      </c>
      <c r="H387" s="6" t="b">
        <f t="shared" ref="H387:H450" si="102">hascolor(E387,$E$6)</f>
        <v>1</v>
      </c>
      <c r="I387" s="6">
        <f t="shared" ref="I387:I450" si="103">IF(H387, 1, 0)</f>
        <v>1</v>
      </c>
    </row>
    <row r="388" spans="2:10" ht="17.25" thickBot="1" x14ac:dyDescent="0.35">
      <c r="B388" s="4"/>
      <c r="C388" s="4" t="s">
        <v>274</v>
      </c>
      <c r="D388" s="4" t="s">
        <v>393</v>
      </c>
      <c r="E388" s="11" t="s">
        <v>813</v>
      </c>
      <c r="F388" s="6" t="b">
        <f t="shared" si="100"/>
        <v>1</v>
      </c>
      <c r="G388" s="6">
        <f t="shared" si="101"/>
        <v>1</v>
      </c>
      <c r="H388" s="6" t="b">
        <f t="shared" si="102"/>
        <v>1</v>
      </c>
      <c r="I388" s="6">
        <f t="shared" si="103"/>
        <v>1</v>
      </c>
    </row>
    <row r="389" spans="2:10" ht="17.25" thickBot="1" x14ac:dyDescent="0.35">
      <c r="B389" s="4"/>
      <c r="C389" s="4"/>
      <c r="D389" s="4"/>
      <c r="E389" t="s">
        <v>814</v>
      </c>
      <c r="F389" s="6" t="b">
        <f t="shared" si="100"/>
        <v>0</v>
      </c>
      <c r="G389" s="6">
        <f t="shared" si="101"/>
        <v>0</v>
      </c>
      <c r="H389" s="6" t="b">
        <f t="shared" si="102"/>
        <v>0</v>
      </c>
      <c r="I389" s="6">
        <f t="shared" si="103"/>
        <v>0</v>
      </c>
    </row>
    <row r="390" spans="2:10" ht="17.25" thickBot="1" x14ac:dyDescent="0.35">
      <c r="B390" s="4"/>
      <c r="C390" s="4"/>
      <c r="D390" s="4"/>
      <c r="E390" s="4" t="s">
        <v>809</v>
      </c>
      <c r="F390" s="6" t="b">
        <f t="shared" si="100"/>
        <v>0</v>
      </c>
      <c r="G390" s="6">
        <f t="shared" si="101"/>
        <v>0</v>
      </c>
      <c r="H390" s="6" t="b">
        <f t="shared" si="102"/>
        <v>0</v>
      </c>
      <c r="I390" s="6">
        <f t="shared" si="103"/>
        <v>0</v>
      </c>
    </row>
    <row r="391" spans="2:10" ht="17.25" thickBot="1" x14ac:dyDescent="0.35">
      <c r="B391" s="5"/>
      <c r="C391" s="5"/>
      <c r="D391" s="5"/>
      <c r="E391" s="5" t="s">
        <v>478</v>
      </c>
      <c r="F391" s="6" t="b">
        <f t="shared" si="100"/>
        <v>0</v>
      </c>
      <c r="G391" s="6">
        <f t="shared" si="101"/>
        <v>0</v>
      </c>
      <c r="H391" s="6" t="b">
        <f t="shared" si="102"/>
        <v>0</v>
      </c>
      <c r="I391" s="6">
        <f t="shared" si="103"/>
        <v>0</v>
      </c>
      <c r="J391">
        <f t="shared" ref="J391" si="104">IF(hascolor(E387:E391,$E$6)=TRUE, 1, 0)</f>
        <v>1</v>
      </c>
    </row>
    <row r="392" spans="2:10" ht="17.25" thickBot="1" x14ac:dyDescent="0.35">
      <c r="B392" s="6" t="s">
        <v>10</v>
      </c>
      <c r="C392" s="6" t="s">
        <v>275</v>
      </c>
      <c r="D392" s="6" t="s">
        <v>392</v>
      </c>
      <c r="E392" s="13" t="s">
        <v>814</v>
      </c>
      <c r="F392" s="6" t="b">
        <f t="shared" si="100"/>
        <v>1</v>
      </c>
      <c r="G392" s="6">
        <f t="shared" si="101"/>
        <v>1</v>
      </c>
      <c r="H392" s="6" t="b">
        <f t="shared" si="102"/>
        <v>1</v>
      </c>
      <c r="I392" s="6">
        <f t="shared" si="103"/>
        <v>1</v>
      </c>
    </row>
    <row r="393" spans="2:10" ht="17.25" thickBot="1" x14ac:dyDescent="0.35">
      <c r="B393" s="4"/>
      <c r="C393" s="4" t="s">
        <v>276</v>
      </c>
      <c r="D393" s="4"/>
      <c r="E393" s="4" t="s">
        <v>815</v>
      </c>
      <c r="F393" s="6" t="b">
        <f t="shared" si="100"/>
        <v>0</v>
      </c>
      <c r="G393" s="6">
        <f t="shared" si="101"/>
        <v>0</v>
      </c>
      <c r="H393" s="6" t="b">
        <f t="shared" si="102"/>
        <v>0</v>
      </c>
      <c r="I393" s="6">
        <f t="shared" si="103"/>
        <v>0</v>
      </c>
    </row>
    <row r="394" spans="2:10" ht="17.25" thickBot="1" x14ac:dyDescent="0.35">
      <c r="B394" s="4"/>
      <c r="C394" s="4"/>
      <c r="D394" s="4"/>
      <c r="E394" t="s">
        <v>809</v>
      </c>
      <c r="F394" s="6" t="b">
        <f t="shared" si="100"/>
        <v>0</v>
      </c>
      <c r="G394" s="6">
        <f t="shared" si="101"/>
        <v>0</v>
      </c>
      <c r="H394" s="6" t="b">
        <f t="shared" si="102"/>
        <v>0</v>
      </c>
      <c r="I394" s="6">
        <f t="shared" si="103"/>
        <v>0</v>
      </c>
    </row>
    <row r="395" spans="2:10" ht="17.25" thickBot="1" x14ac:dyDescent="0.35">
      <c r="B395" s="4"/>
      <c r="C395" s="4"/>
      <c r="D395" s="4"/>
      <c r="E395" s="4" t="s">
        <v>812</v>
      </c>
      <c r="F395" s="6" t="b">
        <f t="shared" si="100"/>
        <v>0</v>
      </c>
      <c r="G395" s="6">
        <f t="shared" si="101"/>
        <v>0</v>
      </c>
      <c r="H395" s="6" t="b">
        <f t="shared" si="102"/>
        <v>0</v>
      </c>
      <c r="I395" s="6">
        <f t="shared" si="103"/>
        <v>0</v>
      </c>
    </row>
    <row r="396" spans="2:10" ht="17.25" thickBot="1" x14ac:dyDescent="0.35">
      <c r="B396" s="5"/>
      <c r="C396" s="5"/>
      <c r="D396" s="5"/>
      <c r="E396" s="5" t="s">
        <v>494</v>
      </c>
      <c r="F396" s="6" t="b">
        <f t="shared" si="100"/>
        <v>0</v>
      </c>
      <c r="G396" s="6">
        <f t="shared" si="101"/>
        <v>0</v>
      </c>
      <c r="H396" s="6" t="b">
        <f t="shared" si="102"/>
        <v>0</v>
      </c>
      <c r="I396" s="6">
        <f t="shared" si="103"/>
        <v>0</v>
      </c>
      <c r="J396">
        <f t="shared" ref="J396" si="105">IF(hascolor(E392:E396,$E$6)=TRUE, 1, 0)</f>
        <v>1</v>
      </c>
    </row>
    <row r="397" spans="2:10" ht="17.25" thickBot="1" x14ac:dyDescent="0.35">
      <c r="B397" s="6" t="s">
        <v>11</v>
      </c>
      <c r="C397" s="6" t="s">
        <v>277</v>
      </c>
      <c r="D397" s="6" t="s">
        <v>383</v>
      </c>
      <c r="E397" s="13" t="s">
        <v>816</v>
      </c>
      <c r="F397" s="6" t="b">
        <f t="shared" si="100"/>
        <v>1</v>
      </c>
      <c r="G397" s="6">
        <f t="shared" si="101"/>
        <v>1</v>
      </c>
      <c r="H397" s="6" t="b">
        <f t="shared" si="102"/>
        <v>1</v>
      </c>
      <c r="I397" s="6">
        <f t="shared" si="103"/>
        <v>1</v>
      </c>
    </row>
    <row r="398" spans="2:10" ht="17.25" thickBot="1" x14ac:dyDescent="0.35">
      <c r="B398" s="4"/>
      <c r="C398" s="4" t="s">
        <v>463</v>
      </c>
      <c r="D398" s="4"/>
      <c r="E398" s="4" t="s">
        <v>817</v>
      </c>
      <c r="F398" s="6" t="b">
        <f t="shared" si="100"/>
        <v>0</v>
      </c>
      <c r="G398" s="6">
        <f t="shared" si="101"/>
        <v>0</v>
      </c>
      <c r="H398" s="6" t="b">
        <f t="shared" si="102"/>
        <v>0</v>
      </c>
      <c r="I398" s="6">
        <f t="shared" si="103"/>
        <v>0</v>
      </c>
    </row>
    <row r="399" spans="2:10" ht="17.25" thickBot="1" x14ac:dyDescent="0.35">
      <c r="B399" s="4"/>
      <c r="C399" s="4" t="s">
        <v>462</v>
      </c>
      <c r="D399" s="4"/>
      <c r="E399" t="s">
        <v>818</v>
      </c>
      <c r="F399" s="6" t="b">
        <f t="shared" si="100"/>
        <v>0</v>
      </c>
      <c r="G399" s="6">
        <f t="shared" si="101"/>
        <v>0</v>
      </c>
      <c r="H399" s="6" t="b">
        <f t="shared" si="102"/>
        <v>0</v>
      </c>
      <c r="I399" s="6">
        <f t="shared" si="103"/>
        <v>0</v>
      </c>
    </row>
    <row r="400" spans="2:10" ht="17.25" thickBot="1" x14ac:dyDescent="0.35">
      <c r="B400" s="4"/>
      <c r="C400" s="4"/>
      <c r="D400" s="4"/>
      <c r="E400" s="4" t="s">
        <v>819</v>
      </c>
      <c r="F400" s="6" t="b">
        <f t="shared" si="100"/>
        <v>0</v>
      </c>
      <c r="G400" s="6">
        <f t="shared" si="101"/>
        <v>0</v>
      </c>
      <c r="H400" s="6" t="b">
        <f t="shared" si="102"/>
        <v>0</v>
      </c>
      <c r="I400" s="6">
        <f t="shared" si="103"/>
        <v>0</v>
      </c>
    </row>
    <row r="401" spans="1:11" ht="17.25" thickBot="1" x14ac:dyDescent="0.35">
      <c r="B401" s="5"/>
      <c r="C401" s="5"/>
      <c r="D401" s="5"/>
      <c r="E401" s="5" t="s">
        <v>481</v>
      </c>
      <c r="F401" s="6" t="b">
        <f t="shared" si="100"/>
        <v>0</v>
      </c>
      <c r="G401" s="6">
        <f t="shared" si="101"/>
        <v>0</v>
      </c>
      <c r="H401" s="6" t="b">
        <f t="shared" si="102"/>
        <v>0</v>
      </c>
      <c r="I401" s="6">
        <f t="shared" si="103"/>
        <v>0</v>
      </c>
      <c r="J401">
        <f t="shared" ref="J401" si="106">IF(hascolor(E397:E401,$E$6)=TRUE, 1, 0)</f>
        <v>1</v>
      </c>
      <c r="K401">
        <f>SUM(J352:J401)</f>
        <v>10</v>
      </c>
    </row>
    <row r="402" spans="1:11" ht="17.25" thickBot="1" x14ac:dyDescent="0.35">
      <c r="A402" s="2" t="s">
        <v>116</v>
      </c>
      <c r="B402" s="6" t="s">
        <v>14</v>
      </c>
      <c r="C402" s="6" t="s">
        <v>278</v>
      </c>
      <c r="D402" s="6" t="s">
        <v>375</v>
      </c>
      <c r="E402" s="13" t="s">
        <v>820</v>
      </c>
      <c r="F402" s="6" t="b">
        <f t="shared" si="100"/>
        <v>1</v>
      </c>
      <c r="G402" s="6">
        <f t="shared" si="101"/>
        <v>1</v>
      </c>
      <c r="H402" s="6" t="b">
        <f t="shared" si="102"/>
        <v>1</v>
      </c>
      <c r="I402" s="6">
        <f t="shared" si="103"/>
        <v>1</v>
      </c>
    </row>
    <row r="403" spans="1:11" ht="17.25" thickBot="1" x14ac:dyDescent="0.35">
      <c r="B403" s="4"/>
      <c r="C403" s="4" t="s">
        <v>279</v>
      </c>
      <c r="D403" s="4" t="s">
        <v>384</v>
      </c>
      <c r="E403" s="11" t="s">
        <v>821</v>
      </c>
      <c r="F403" s="6" t="b">
        <f t="shared" si="100"/>
        <v>1</v>
      </c>
      <c r="G403" s="6">
        <f t="shared" si="101"/>
        <v>1</v>
      </c>
      <c r="H403" s="6" t="b">
        <f t="shared" si="102"/>
        <v>1</v>
      </c>
      <c r="I403" s="6">
        <f t="shared" si="103"/>
        <v>1</v>
      </c>
    </row>
    <row r="404" spans="1:11" ht="17.25" thickBot="1" x14ac:dyDescent="0.35">
      <c r="B404" s="4"/>
      <c r="C404" s="4" t="s">
        <v>461</v>
      </c>
      <c r="E404" t="s">
        <v>822</v>
      </c>
      <c r="F404" s="6" t="b">
        <f t="shared" si="100"/>
        <v>0</v>
      </c>
      <c r="G404" s="6">
        <f t="shared" si="101"/>
        <v>0</v>
      </c>
      <c r="H404" s="6" t="b">
        <f t="shared" si="102"/>
        <v>0</v>
      </c>
      <c r="I404" s="6">
        <f t="shared" si="103"/>
        <v>0</v>
      </c>
    </row>
    <row r="405" spans="1:11" ht="17.25" thickBot="1" x14ac:dyDescent="0.35">
      <c r="B405" s="4"/>
      <c r="C405" s="4"/>
      <c r="D405" s="4"/>
      <c r="E405" s="4" t="s">
        <v>823</v>
      </c>
      <c r="F405" s="6" t="b">
        <f t="shared" si="100"/>
        <v>0</v>
      </c>
      <c r="G405" s="6">
        <f t="shared" si="101"/>
        <v>0</v>
      </c>
      <c r="H405" s="6" t="b">
        <f t="shared" si="102"/>
        <v>0</v>
      </c>
      <c r="I405" s="6">
        <f t="shared" si="103"/>
        <v>0</v>
      </c>
    </row>
    <row r="406" spans="1:11" ht="17.25" thickBot="1" x14ac:dyDescent="0.35">
      <c r="B406" s="5"/>
      <c r="C406" s="5"/>
      <c r="D406" s="5"/>
      <c r="E406" s="5" t="s">
        <v>496</v>
      </c>
      <c r="F406" s="6" t="b">
        <f t="shared" si="100"/>
        <v>0</v>
      </c>
      <c r="G406" s="6">
        <f t="shared" si="101"/>
        <v>0</v>
      </c>
      <c r="H406" s="6" t="b">
        <f t="shared" si="102"/>
        <v>0</v>
      </c>
      <c r="I406" s="6">
        <f t="shared" si="103"/>
        <v>0</v>
      </c>
      <c r="J406">
        <f t="shared" ref="J406" si="107">IF(hascolor(E402:E406,$E$6)=TRUE, 1, 0)</f>
        <v>1</v>
      </c>
    </row>
    <row r="407" spans="1:11" ht="17.25" thickBot="1" x14ac:dyDescent="0.35">
      <c r="B407" s="6" t="s">
        <v>15</v>
      </c>
      <c r="C407" s="6" t="s">
        <v>280</v>
      </c>
      <c r="D407" s="6" t="s">
        <v>382</v>
      </c>
      <c r="E407" s="13" t="s">
        <v>824</v>
      </c>
      <c r="F407" s="6" t="b">
        <f t="shared" si="100"/>
        <v>1</v>
      </c>
      <c r="G407" s="6">
        <f t="shared" si="101"/>
        <v>1</v>
      </c>
      <c r="H407" s="6" t="b">
        <f t="shared" si="102"/>
        <v>1</v>
      </c>
      <c r="I407" s="6">
        <f t="shared" si="103"/>
        <v>1</v>
      </c>
    </row>
    <row r="408" spans="1:11" ht="17.25" thickBot="1" x14ac:dyDescent="0.35">
      <c r="B408" s="4"/>
      <c r="C408" s="4" t="s">
        <v>380</v>
      </c>
      <c r="D408" s="4" t="s">
        <v>380</v>
      </c>
      <c r="E408" s="11" t="s">
        <v>825</v>
      </c>
      <c r="F408" s="6" t="b">
        <f t="shared" si="100"/>
        <v>1</v>
      </c>
      <c r="G408" s="6">
        <f t="shared" si="101"/>
        <v>1</v>
      </c>
      <c r="H408" s="6" t="b">
        <f t="shared" si="102"/>
        <v>1</v>
      </c>
      <c r="I408" s="6">
        <f t="shared" si="103"/>
        <v>1</v>
      </c>
    </row>
    <row r="409" spans="1:11" ht="17.25" thickBot="1" x14ac:dyDescent="0.35">
      <c r="B409" s="4"/>
      <c r="C409" s="4"/>
      <c r="D409" s="4"/>
      <c r="E409" t="s">
        <v>826</v>
      </c>
      <c r="F409" s="6" t="b">
        <f t="shared" si="100"/>
        <v>0</v>
      </c>
      <c r="G409" s="6">
        <f t="shared" si="101"/>
        <v>0</v>
      </c>
      <c r="H409" s="6" t="b">
        <f t="shared" si="102"/>
        <v>0</v>
      </c>
      <c r="I409" s="6">
        <f t="shared" si="103"/>
        <v>0</v>
      </c>
    </row>
    <row r="410" spans="1:11" ht="17.25" thickBot="1" x14ac:dyDescent="0.35">
      <c r="B410" s="4"/>
      <c r="C410" s="4"/>
      <c r="D410" s="4"/>
      <c r="E410" s="4" t="s">
        <v>827</v>
      </c>
      <c r="F410" s="6" t="b">
        <f t="shared" si="100"/>
        <v>0</v>
      </c>
      <c r="G410" s="6">
        <f t="shared" si="101"/>
        <v>0</v>
      </c>
      <c r="H410" s="6" t="b">
        <f t="shared" si="102"/>
        <v>0</v>
      </c>
      <c r="I410" s="6">
        <f t="shared" si="103"/>
        <v>0</v>
      </c>
    </row>
    <row r="411" spans="1:11" ht="17.25" thickBot="1" x14ac:dyDescent="0.35">
      <c r="B411" s="5"/>
      <c r="C411" s="5"/>
      <c r="D411" s="5"/>
      <c r="E411" s="5" t="s">
        <v>482</v>
      </c>
      <c r="F411" s="6" t="b">
        <f t="shared" si="100"/>
        <v>0</v>
      </c>
      <c r="G411" s="6">
        <f t="shared" si="101"/>
        <v>0</v>
      </c>
      <c r="H411" s="6" t="b">
        <f t="shared" si="102"/>
        <v>0</v>
      </c>
      <c r="I411" s="6">
        <f t="shared" si="103"/>
        <v>0</v>
      </c>
      <c r="J411">
        <f t="shared" ref="J411" si="108">IF(hascolor(E407:E411,$E$6)=TRUE, 1, 0)</f>
        <v>1</v>
      </c>
    </row>
    <row r="412" spans="1:11" ht="17.25" thickBot="1" x14ac:dyDescent="0.35">
      <c r="B412" s="6" t="s">
        <v>73</v>
      </c>
      <c r="C412" s="6" t="s">
        <v>281</v>
      </c>
      <c r="D412" s="6" t="s">
        <v>381</v>
      </c>
      <c r="E412" s="13" t="s">
        <v>828</v>
      </c>
      <c r="F412" s="6" t="b">
        <f t="shared" si="100"/>
        <v>1</v>
      </c>
      <c r="G412" s="6">
        <f t="shared" si="101"/>
        <v>1</v>
      </c>
      <c r="H412" s="6" t="b">
        <f t="shared" si="102"/>
        <v>1</v>
      </c>
      <c r="I412" s="6">
        <f t="shared" si="103"/>
        <v>1</v>
      </c>
    </row>
    <row r="413" spans="1:11" ht="17.25" thickBot="1" x14ac:dyDescent="0.35">
      <c r="B413" s="4"/>
      <c r="C413" s="4" t="s">
        <v>385</v>
      </c>
      <c r="D413" s="4" t="s">
        <v>385</v>
      </c>
      <c r="E413" s="11" t="s">
        <v>829</v>
      </c>
      <c r="F413" s="6" t="b">
        <f t="shared" si="100"/>
        <v>1</v>
      </c>
      <c r="G413" s="6">
        <f t="shared" si="101"/>
        <v>1</v>
      </c>
      <c r="H413" s="6" t="b">
        <f t="shared" si="102"/>
        <v>1</v>
      </c>
      <c r="I413" s="6">
        <f t="shared" si="103"/>
        <v>1</v>
      </c>
    </row>
    <row r="414" spans="1:11" ht="17.25" thickBot="1" x14ac:dyDescent="0.35">
      <c r="B414" s="4"/>
      <c r="C414" s="4"/>
      <c r="D414" s="4"/>
      <c r="E414" t="s">
        <v>830</v>
      </c>
      <c r="F414" s="6" t="b">
        <f t="shared" si="100"/>
        <v>0</v>
      </c>
      <c r="G414" s="6">
        <f t="shared" si="101"/>
        <v>0</v>
      </c>
      <c r="H414" s="6" t="b">
        <f t="shared" si="102"/>
        <v>0</v>
      </c>
      <c r="I414" s="6">
        <f t="shared" si="103"/>
        <v>0</v>
      </c>
    </row>
    <row r="415" spans="1:11" ht="17.25" thickBot="1" x14ac:dyDescent="0.35">
      <c r="B415" s="4"/>
      <c r="C415" s="4"/>
      <c r="D415" s="4"/>
      <c r="E415" s="4" t="s">
        <v>831</v>
      </c>
      <c r="F415" s="6" t="b">
        <f t="shared" si="100"/>
        <v>0</v>
      </c>
      <c r="G415" s="6">
        <f t="shared" si="101"/>
        <v>0</v>
      </c>
      <c r="H415" s="6" t="b">
        <f t="shared" si="102"/>
        <v>0</v>
      </c>
      <c r="I415" s="6">
        <f t="shared" si="103"/>
        <v>0</v>
      </c>
    </row>
    <row r="416" spans="1:11" ht="17.25" thickBot="1" x14ac:dyDescent="0.35">
      <c r="B416" s="5"/>
      <c r="C416" s="5"/>
      <c r="D416" s="5"/>
      <c r="E416" s="5" t="s">
        <v>483</v>
      </c>
      <c r="F416" s="6" t="b">
        <f t="shared" si="100"/>
        <v>0</v>
      </c>
      <c r="G416" s="6">
        <f t="shared" si="101"/>
        <v>0</v>
      </c>
      <c r="H416" s="6" t="b">
        <f t="shared" si="102"/>
        <v>0</v>
      </c>
      <c r="I416" s="6">
        <f t="shared" si="103"/>
        <v>0</v>
      </c>
      <c r="J416">
        <f t="shared" ref="J416" si="109">IF(hascolor(E412:E416,$E$6)=TRUE, 1, 0)</f>
        <v>1</v>
      </c>
    </row>
    <row r="417" spans="2:10" ht="17.25" thickBot="1" x14ac:dyDescent="0.35">
      <c r="B417" s="6" t="s">
        <v>74</v>
      </c>
      <c r="C417" s="6" t="s">
        <v>282</v>
      </c>
      <c r="D417" s="6" t="s">
        <v>376</v>
      </c>
      <c r="E417" s="6" t="s">
        <v>832</v>
      </c>
      <c r="F417" s="6" t="b">
        <f t="shared" si="100"/>
        <v>1</v>
      </c>
      <c r="G417" s="6">
        <f t="shared" si="101"/>
        <v>1</v>
      </c>
      <c r="H417" s="6" t="b">
        <f t="shared" si="102"/>
        <v>0</v>
      </c>
      <c r="I417" s="6">
        <f t="shared" si="103"/>
        <v>0</v>
      </c>
    </row>
    <row r="418" spans="2:10" ht="17.25" thickBot="1" x14ac:dyDescent="0.35">
      <c r="B418" s="4"/>
      <c r="C418" s="4" t="s">
        <v>386</v>
      </c>
      <c r="D418" s="4" t="s">
        <v>386</v>
      </c>
      <c r="E418" s="11" t="s">
        <v>833</v>
      </c>
      <c r="F418" s="6" t="b">
        <f t="shared" si="100"/>
        <v>1</v>
      </c>
      <c r="G418" s="6">
        <f t="shared" si="101"/>
        <v>1</v>
      </c>
      <c r="H418" s="6" t="b">
        <f t="shared" si="102"/>
        <v>1</v>
      </c>
      <c r="I418" s="6">
        <f t="shared" si="103"/>
        <v>1</v>
      </c>
    </row>
    <row r="419" spans="2:10" ht="17.25" thickBot="1" x14ac:dyDescent="0.35">
      <c r="B419" s="4"/>
      <c r="C419" s="4"/>
      <c r="D419" s="4"/>
      <c r="E419" t="s">
        <v>834</v>
      </c>
      <c r="F419" s="6" t="b">
        <f t="shared" si="100"/>
        <v>0</v>
      </c>
      <c r="G419" s="6">
        <f t="shared" si="101"/>
        <v>0</v>
      </c>
      <c r="H419" s="6" t="b">
        <f t="shared" si="102"/>
        <v>0</v>
      </c>
      <c r="I419" s="6">
        <f t="shared" si="103"/>
        <v>0</v>
      </c>
    </row>
    <row r="420" spans="2:10" ht="17.25" thickBot="1" x14ac:dyDescent="0.35">
      <c r="B420" s="4"/>
      <c r="C420" s="4"/>
      <c r="D420" s="4"/>
      <c r="E420" s="4" t="s">
        <v>830</v>
      </c>
      <c r="F420" s="6" t="b">
        <f t="shared" si="100"/>
        <v>0</v>
      </c>
      <c r="G420" s="6">
        <f t="shared" si="101"/>
        <v>0</v>
      </c>
      <c r="H420" s="6" t="b">
        <f t="shared" si="102"/>
        <v>0</v>
      </c>
      <c r="I420" s="6">
        <f t="shared" si="103"/>
        <v>0</v>
      </c>
    </row>
    <row r="421" spans="2:10" ht="17.25" thickBot="1" x14ac:dyDescent="0.35">
      <c r="B421" s="5"/>
      <c r="C421" s="5"/>
      <c r="D421" s="5"/>
      <c r="E421" s="5" t="s">
        <v>497</v>
      </c>
      <c r="F421" s="6" t="b">
        <f t="shared" si="100"/>
        <v>0</v>
      </c>
      <c r="G421" s="6">
        <f t="shared" si="101"/>
        <v>0</v>
      </c>
      <c r="H421" s="6" t="b">
        <f t="shared" si="102"/>
        <v>0</v>
      </c>
      <c r="I421" s="6">
        <f t="shared" si="103"/>
        <v>0</v>
      </c>
      <c r="J421">
        <f t="shared" ref="J421" si="110">IF(hascolor(E417:E421,$E$6)=TRUE, 1, 0)</f>
        <v>1</v>
      </c>
    </row>
    <row r="422" spans="2:10" ht="17.25" thickBot="1" x14ac:dyDescent="0.35">
      <c r="B422" s="6" t="s">
        <v>75</v>
      </c>
      <c r="C422" s="6" t="s">
        <v>283</v>
      </c>
      <c r="D422" s="6" t="s">
        <v>377</v>
      </c>
      <c r="E422" s="13" t="s">
        <v>835</v>
      </c>
      <c r="F422" s="6" t="b">
        <f t="shared" si="100"/>
        <v>1</v>
      </c>
      <c r="G422" s="6">
        <f t="shared" si="101"/>
        <v>1</v>
      </c>
      <c r="H422" s="6" t="b">
        <f t="shared" si="102"/>
        <v>1</v>
      </c>
      <c r="I422" s="6">
        <f t="shared" si="103"/>
        <v>1</v>
      </c>
    </row>
    <row r="423" spans="2:10" ht="17.25" thickBot="1" x14ac:dyDescent="0.35">
      <c r="B423" s="4"/>
      <c r="C423" s="4" t="s">
        <v>284</v>
      </c>
      <c r="D423" s="4" t="s">
        <v>387</v>
      </c>
      <c r="E423" s="4" t="s">
        <v>836</v>
      </c>
      <c r="F423" s="6" t="b">
        <f t="shared" si="100"/>
        <v>1</v>
      </c>
      <c r="G423" s="6">
        <f t="shared" si="101"/>
        <v>1</v>
      </c>
      <c r="H423" s="6" t="b">
        <f t="shared" si="102"/>
        <v>0</v>
      </c>
      <c r="I423" s="6">
        <f t="shared" si="103"/>
        <v>0</v>
      </c>
    </row>
    <row r="424" spans="2:10" ht="17.25" thickBot="1" x14ac:dyDescent="0.35">
      <c r="B424" s="4"/>
      <c r="C424" s="4" t="s">
        <v>285</v>
      </c>
      <c r="D424" s="4"/>
      <c r="E424" t="s">
        <v>837</v>
      </c>
      <c r="F424" s="6" t="b">
        <f t="shared" si="100"/>
        <v>0</v>
      </c>
      <c r="G424" s="6">
        <f t="shared" si="101"/>
        <v>0</v>
      </c>
      <c r="H424" s="6" t="b">
        <f t="shared" si="102"/>
        <v>0</v>
      </c>
      <c r="I424" s="6">
        <f t="shared" si="103"/>
        <v>0</v>
      </c>
    </row>
    <row r="425" spans="2:10" ht="17.25" thickBot="1" x14ac:dyDescent="0.35">
      <c r="B425" s="4"/>
      <c r="C425" s="4" t="s">
        <v>460</v>
      </c>
      <c r="E425" s="11" t="s">
        <v>838</v>
      </c>
      <c r="F425" s="6" t="b">
        <f t="shared" si="100"/>
        <v>0</v>
      </c>
      <c r="G425" s="6">
        <f t="shared" si="101"/>
        <v>0</v>
      </c>
      <c r="H425" s="6" t="b">
        <f t="shared" si="102"/>
        <v>1</v>
      </c>
      <c r="I425" s="6">
        <f t="shared" si="103"/>
        <v>1</v>
      </c>
    </row>
    <row r="426" spans="2:10" ht="17.25" thickBot="1" x14ac:dyDescent="0.35">
      <c r="B426" s="5"/>
      <c r="C426" s="5"/>
      <c r="D426" s="5"/>
      <c r="E426" s="5" t="s">
        <v>484</v>
      </c>
      <c r="F426" s="6" t="b">
        <f t="shared" si="100"/>
        <v>0</v>
      </c>
      <c r="G426" s="6">
        <f t="shared" si="101"/>
        <v>0</v>
      </c>
      <c r="H426" s="6" t="b">
        <f t="shared" si="102"/>
        <v>0</v>
      </c>
      <c r="I426" s="6">
        <f t="shared" si="103"/>
        <v>0</v>
      </c>
      <c r="J426">
        <f t="shared" ref="J426" si="111">IF(hascolor(E422:E426,$E$6)=TRUE, 1, 0)</f>
        <v>1</v>
      </c>
    </row>
    <row r="427" spans="2:10" ht="17.25" thickBot="1" x14ac:dyDescent="0.35">
      <c r="B427" s="6" t="s">
        <v>76</v>
      </c>
      <c r="C427" s="6" t="s">
        <v>286</v>
      </c>
      <c r="D427" s="6" t="s">
        <v>378</v>
      </c>
      <c r="E427" s="13" t="s">
        <v>839</v>
      </c>
      <c r="F427" s="6" t="b">
        <f t="shared" si="100"/>
        <v>1</v>
      </c>
      <c r="G427" s="6">
        <f t="shared" si="101"/>
        <v>1</v>
      </c>
      <c r="H427" s="6" t="b">
        <f t="shared" si="102"/>
        <v>1</v>
      </c>
      <c r="I427" s="6">
        <f t="shared" si="103"/>
        <v>1</v>
      </c>
    </row>
    <row r="428" spans="2:10" ht="17.25" thickBot="1" x14ac:dyDescent="0.35">
      <c r="B428" s="4"/>
      <c r="C428" s="4" t="s">
        <v>287</v>
      </c>
      <c r="D428" s="4"/>
      <c r="E428" s="4" t="s">
        <v>840</v>
      </c>
      <c r="F428" s="6" t="b">
        <f t="shared" si="100"/>
        <v>0</v>
      </c>
      <c r="G428" s="6">
        <f t="shared" si="101"/>
        <v>0</v>
      </c>
      <c r="H428" s="6" t="b">
        <f t="shared" si="102"/>
        <v>0</v>
      </c>
      <c r="I428" s="6">
        <f t="shared" si="103"/>
        <v>0</v>
      </c>
    </row>
    <row r="429" spans="2:10" ht="17.25" thickBot="1" x14ac:dyDescent="0.35">
      <c r="B429" s="4"/>
      <c r="C429" s="4" t="s">
        <v>288</v>
      </c>
      <c r="D429" s="4"/>
      <c r="E429" t="s">
        <v>823</v>
      </c>
      <c r="F429" s="6" t="b">
        <f t="shared" si="100"/>
        <v>0</v>
      </c>
      <c r="G429" s="6">
        <f t="shared" si="101"/>
        <v>0</v>
      </c>
      <c r="H429" s="6" t="b">
        <f t="shared" si="102"/>
        <v>0</v>
      </c>
      <c r="I429" s="6">
        <f t="shared" si="103"/>
        <v>0</v>
      </c>
    </row>
    <row r="430" spans="2:10" ht="17.25" thickBot="1" x14ac:dyDescent="0.35">
      <c r="B430" s="4"/>
      <c r="C430" s="4"/>
      <c r="D430" s="4"/>
      <c r="E430" s="4" t="s">
        <v>841</v>
      </c>
      <c r="F430" s="6" t="b">
        <f t="shared" si="100"/>
        <v>0</v>
      </c>
      <c r="G430" s="6">
        <f t="shared" si="101"/>
        <v>0</v>
      </c>
      <c r="H430" s="6" t="b">
        <f t="shared" si="102"/>
        <v>0</v>
      </c>
      <c r="I430" s="6">
        <f t="shared" si="103"/>
        <v>0</v>
      </c>
    </row>
    <row r="431" spans="2:10" ht="17.25" thickBot="1" x14ac:dyDescent="0.35">
      <c r="B431" s="5"/>
      <c r="C431" s="5"/>
      <c r="D431" s="5"/>
      <c r="E431" s="5" t="s">
        <v>485</v>
      </c>
      <c r="F431" s="6" t="b">
        <f t="shared" si="100"/>
        <v>0</v>
      </c>
      <c r="G431" s="6">
        <f t="shared" si="101"/>
        <v>0</v>
      </c>
      <c r="H431" s="6" t="b">
        <f t="shared" si="102"/>
        <v>0</v>
      </c>
      <c r="I431" s="6">
        <f t="shared" si="103"/>
        <v>0</v>
      </c>
      <c r="J431">
        <f t="shared" ref="J431" si="112">IF(hascolor(E427:E431,$E$6)=TRUE, 1, 0)</f>
        <v>1</v>
      </c>
    </row>
    <row r="432" spans="2:10" ht="17.25" thickBot="1" x14ac:dyDescent="0.35">
      <c r="B432" s="6" t="s">
        <v>77</v>
      </c>
      <c r="C432" s="6" t="s">
        <v>459</v>
      </c>
      <c r="D432" s="6" t="s">
        <v>388</v>
      </c>
      <c r="E432" s="13" t="s">
        <v>842</v>
      </c>
      <c r="F432" s="6" t="b">
        <f t="shared" si="100"/>
        <v>1</v>
      </c>
      <c r="G432" s="6">
        <f t="shared" si="101"/>
        <v>1</v>
      </c>
      <c r="H432" s="6" t="b">
        <f t="shared" si="102"/>
        <v>1</v>
      </c>
      <c r="I432" s="6">
        <f t="shared" si="103"/>
        <v>1</v>
      </c>
    </row>
    <row r="433" spans="2:10" ht="17.25" thickBot="1" x14ac:dyDescent="0.35">
      <c r="B433" s="4"/>
      <c r="C433" s="4" t="s">
        <v>458</v>
      </c>
      <c r="D433" s="4"/>
      <c r="E433" s="4" t="s">
        <v>843</v>
      </c>
      <c r="F433" s="6" t="b">
        <f t="shared" si="100"/>
        <v>0</v>
      </c>
      <c r="G433" s="6">
        <f t="shared" si="101"/>
        <v>0</v>
      </c>
      <c r="H433" s="6" t="b">
        <f t="shared" si="102"/>
        <v>0</v>
      </c>
      <c r="I433" s="6">
        <f t="shared" si="103"/>
        <v>0</v>
      </c>
    </row>
    <row r="434" spans="2:10" ht="17.25" thickBot="1" x14ac:dyDescent="0.35">
      <c r="B434" s="4"/>
      <c r="C434" s="4"/>
      <c r="D434" s="4"/>
      <c r="E434" t="s">
        <v>832</v>
      </c>
      <c r="F434" s="6" t="b">
        <f t="shared" si="100"/>
        <v>0</v>
      </c>
      <c r="G434" s="6">
        <f t="shared" si="101"/>
        <v>0</v>
      </c>
      <c r="H434" s="6" t="b">
        <f t="shared" si="102"/>
        <v>0</v>
      </c>
      <c r="I434" s="6">
        <f t="shared" si="103"/>
        <v>0</v>
      </c>
    </row>
    <row r="435" spans="2:10" ht="17.25" thickBot="1" x14ac:dyDescent="0.35">
      <c r="B435" s="4"/>
      <c r="C435" s="4"/>
      <c r="D435" s="4"/>
      <c r="E435" s="4" t="s">
        <v>844</v>
      </c>
      <c r="F435" s="6" t="b">
        <f t="shared" si="100"/>
        <v>0</v>
      </c>
      <c r="G435" s="6">
        <f t="shared" si="101"/>
        <v>0</v>
      </c>
      <c r="H435" s="6" t="b">
        <f t="shared" si="102"/>
        <v>0</v>
      </c>
      <c r="I435" s="6">
        <f t="shared" si="103"/>
        <v>0</v>
      </c>
    </row>
    <row r="436" spans="2:10" ht="17.25" thickBot="1" x14ac:dyDescent="0.35">
      <c r="B436" s="5"/>
      <c r="C436" s="5"/>
      <c r="D436" s="5"/>
      <c r="E436" s="5" t="s">
        <v>486</v>
      </c>
      <c r="F436" s="6" t="b">
        <f t="shared" si="100"/>
        <v>0</v>
      </c>
      <c r="G436" s="6">
        <f t="shared" si="101"/>
        <v>0</v>
      </c>
      <c r="H436" s="6" t="b">
        <f t="shared" si="102"/>
        <v>0</v>
      </c>
      <c r="I436" s="6">
        <f t="shared" si="103"/>
        <v>0</v>
      </c>
      <c r="J436">
        <f t="shared" ref="J436" si="113">IF(hascolor(E432:E436,$E$6)=TRUE, 1, 0)</f>
        <v>1</v>
      </c>
    </row>
    <row r="437" spans="2:10" ht="17.25" thickBot="1" x14ac:dyDescent="0.35">
      <c r="B437" s="6" t="s">
        <v>78</v>
      </c>
      <c r="C437" s="6" t="s">
        <v>289</v>
      </c>
      <c r="D437" s="6" t="s">
        <v>379</v>
      </c>
      <c r="E437" s="13" t="s">
        <v>845</v>
      </c>
      <c r="F437" s="6" t="b">
        <f t="shared" si="100"/>
        <v>1</v>
      </c>
      <c r="G437" s="6">
        <f t="shared" si="101"/>
        <v>1</v>
      </c>
      <c r="H437" s="6" t="b">
        <f t="shared" si="102"/>
        <v>1</v>
      </c>
      <c r="I437" s="6">
        <f t="shared" si="103"/>
        <v>1</v>
      </c>
    </row>
    <row r="438" spans="2:10" ht="17.25" thickBot="1" x14ac:dyDescent="0.35">
      <c r="B438" s="4"/>
      <c r="C438" s="4" t="s">
        <v>290</v>
      </c>
      <c r="D438" s="4" t="s">
        <v>389</v>
      </c>
      <c r="E438" s="11" t="s">
        <v>846</v>
      </c>
      <c r="F438" s="6" t="b">
        <f t="shared" si="100"/>
        <v>1</v>
      </c>
      <c r="G438" s="6">
        <f t="shared" si="101"/>
        <v>1</v>
      </c>
      <c r="H438" s="6" t="b">
        <f t="shared" si="102"/>
        <v>1</v>
      </c>
      <c r="I438" s="6">
        <f t="shared" si="103"/>
        <v>1</v>
      </c>
    </row>
    <row r="439" spans="2:10" ht="17.25" thickBot="1" x14ac:dyDescent="0.35">
      <c r="B439" s="4"/>
      <c r="C439" s="4" t="s">
        <v>457</v>
      </c>
      <c r="E439" t="s">
        <v>847</v>
      </c>
      <c r="F439" s="6" t="b">
        <f t="shared" si="100"/>
        <v>0</v>
      </c>
      <c r="G439" s="6">
        <f t="shared" si="101"/>
        <v>0</v>
      </c>
      <c r="H439" s="6" t="b">
        <f t="shared" si="102"/>
        <v>0</v>
      </c>
      <c r="I439" s="6">
        <f t="shared" si="103"/>
        <v>0</v>
      </c>
    </row>
    <row r="440" spans="2:10" ht="17.25" thickBot="1" x14ac:dyDescent="0.35">
      <c r="B440" s="4"/>
      <c r="C440" s="4"/>
      <c r="D440" s="4"/>
      <c r="E440" s="4" t="s">
        <v>840</v>
      </c>
      <c r="F440" s="6" t="b">
        <f t="shared" si="100"/>
        <v>0</v>
      </c>
      <c r="G440" s="6">
        <f t="shared" si="101"/>
        <v>0</v>
      </c>
      <c r="H440" s="6" t="b">
        <f t="shared" si="102"/>
        <v>0</v>
      </c>
      <c r="I440" s="6">
        <f t="shared" si="103"/>
        <v>0</v>
      </c>
    </row>
    <row r="441" spans="2:10" ht="17.25" thickBot="1" x14ac:dyDescent="0.35">
      <c r="B441" s="5"/>
      <c r="C441" s="5"/>
      <c r="D441" s="5"/>
      <c r="E441" s="5" t="s">
        <v>498</v>
      </c>
      <c r="F441" s="6" t="b">
        <f t="shared" si="100"/>
        <v>0</v>
      </c>
      <c r="G441" s="6">
        <f t="shared" si="101"/>
        <v>0</v>
      </c>
      <c r="H441" s="6" t="b">
        <f t="shared" si="102"/>
        <v>0</v>
      </c>
      <c r="I441" s="6">
        <f t="shared" si="103"/>
        <v>0</v>
      </c>
      <c r="J441">
        <f t="shared" ref="J441" si="114">IF(hascolor(E437:E441,$E$6)=TRUE, 1, 0)</f>
        <v>1</v>
      </c>
    </row>
    <row r="442" spans="2:10" ht="17.25" thickBot="1" x14ac:dyDescent="0.35">
      <c r="B442" s="6" t="s">
        <v>79</v>
      </c>
      <c r="C442" s="6" t="s">
        <v>456</v>
      </c>
      <c r="D442" s="6" t="s">
        <v>390</v>
      </c>
      <c r="E442" s="13" t="s">
        <v>848</v>
      </c>
      <c r="F442" s="6" t="b">
        <f t="shared" si="100"/>
        <v>1</v>
      </c>
      <c r="G442" s="6">
        <f t="shared" si="101"/>
        <v>1</v>
      </c>
      <c r="H442" s="6" t="b">
        <f t="shared" si="102"/>
        <v>1</v>
      </c>
      <c r="I442" s="6">
        <f t="shared" si="103"/>
        <v>1</v>
      </c>
    </row>
    <row r="443" spans="2:10" ht="17.25" thickBot="1" x14ac:dyDescent="0.35">
      <c r="B443" s="4"/>
      <c r="C443" s="4"/>
      <c r="D443" s="4"/>
      <c r="E443" s="4" t="s">
        <v>849</v>
      </c>
      <c r="F443" s="6" t="b">
        <f t="shared" si="100"/>
        <v>0</v>
      </c>
      <c r="G443" s="6">
        <f t="shared" si="101"/>
        <v>0</v>
      </c>
      <c r="H443" s="6" t="b">
        <f t="shared" si="102"/>
        <v>0</v>
      </c>
      <c r="I443" s="6">
        <f t="shared" si="103"/>
        <v>0</v>
      </c>
    </row>
    <row r="444" spans="2:10" ht="17.25" thickBot="1" x14ac:dyDescent="0.35">
      <c r="B444" s="4"/>
      <c r="C444" s="4"/>
      <c r="D444" s="4"/>
      <c r="E444" t="s">
        <v>850</v>
      </c>
      <c r="F444" s="6" t="b">
        <f t="shared" si="100"/>
        <v>0</v>
      </c>
      <c r="G444" s="6">
        <f t="shared" si="101"/>
        <v>0</v>
      </c>
      <c r="H444" s="6" t="b">
        <f t="shared" si="102"/>
        <v>0</v>
      </c>
      <c r="I444" s="6">
        <f t="shared" si="103"/>
        <v>0</v>
      </c>
    </row>
    <row r="445" spans="2:10" ht="17.25" thickBot="1" x14ac:dyDescent="0.35">
      <c r="B445" s="4"/>
      <c r="C445" s="4"/>
      <c r="D445" s="4"/>
      <c r="E445" s="4" t="s">
        <v>851</v>
      </c>
      <c r="F445" s="6" t="b">
        <f t="shared" si="100"/>
        <v>0</v>
      </c>
      <c r="G445" s="6">
        <f t="shared" si="101"/>
        <v>0</v>
      </c>
      <c r="H445" s="6" t="b">
        <f t="shared" si="102"/>
        <v>0</v>
      </c>
      <c r="I445" s="6">
        <f t="shared" si="103"/>
        <v>0</v>
      </c>
    </row>
    <row r="446" spans="2:10" ht="17.25" thickBot="1" x14ac:dyDescent="0.35">
      <c r="B446" s="5"/>
      <c r="C446" s="5"/>
      <c r="D446" s="5"/>
      <c r="E446" s="5" t="s">
        <v>487</v>
      </c>
      <c r="F446" s="6" t="b">
        <f t="shared" si="100"/>
        <v>0</v>
      </c>
      <c r="G446" s="6">
        <f t="shared" si="101"/>
        <v>0</v>
      </c>
      <c r="H446" s="6" t="b">
        <f t="shared" si="102"/>
        <v>0</v>
      </c>
      <c r="I446" s="6">
        <f t="shared" si="103"/>
        <v>0</v>
      </c>
      <c r="J446">
        <f t="shared" ref="J446" si="115">IF(hascolor(E442:E446,$E$6)=TRUE, 1, 0)</f>
        <v>1</v>
      </c>
    </row>
    <row r="447" spans="2:10" ht="17.25" thickBot="1" x14ac:dyDescent="0.35">
      <c r="B447" s="6" t="s">
        <v>80</v>
      </c>
      <c r="C447" s="6" t="s">
        <v>455</v>
      </c>
      <c r="D447" s="6" t="s">
        <v>391</v>
      </c>
      <c r="E447" s="13" t="s">
        <v>852</v>
      </c>
      <c r="F447" s="6" t="b">
        <f t="shared" si="100"/>
        <v>1</v>
      </c>
      <c r="G447" s="6">
        <f t="shared" si="101"/>
        <v>1</v>
      </c>
      <c r="H447" s="6" t="b">
        <f t="shared" si="102"/>
        <v>1</v>
      </c>
      <c r="I447" s="6">
        <f t="shared" si="103"/>
        <v>1</v>
      </c>
    </row>
    <row r="448" spans="2:10" ht="17.25" thickBot="1" x14ac:dyDescent="0.35">
      <c r="B448" s="4"/>
      <c r="C448" s="4"/>
      <c r="D448" s="4"/>
      <c r="E448" s="4" t="s">
        <v>853</v>
      </c>
      <c r="F448" s="6" t="b">
        <f t="shared" si="100"/>
        <v>0</v>
      </c>
      <c r="G448" s="6">
        <f t="shared" si="101"/>
        <v>0</v>
      </c>
      <c r="H448" s="6" t="b">
        <f t="shared" si="102"/>
        <v>0</v>
      </c>
      <c r="I448" s="6">
        <f t="shared" si="103"/>
        <v>0</v>
      </c>
    </row>
    <row r="449" spans="1:11" ht="17.25" thickBot="1" x14ac:dyDescent="0.35">
      <c r="B449" s="4"/>
      <c r="C449" s="4"/>
      <c r="D449" s="4"/>
      <c r="E449" t="s">
        <v>854</v>
      </c>
      <c r="F449" s="6" t="b">
        <f t="shared" si="100"/>
        <v>0</v>
      </c>
      <c r="G449" s="6">
        <f t="shared" si="101"/>
        <v>0</v>
      </c>
      <c r="H449" s="6" t="b">
        <f t="shared" si="102"/>
        <v>0</v>
      </c>
      <c r="I449" s="6">
        <f t="shared" si="103"/>
        <v>0</v>
      </c>
    </row>
    <row r="450" spans="1:11" ht="17.25" thickBot="1" x14ac:dyDescent="0.35">
      <c r="B450" s="4"/>
      <c r="C450" s="4"/>
      <c r="D450" s="4"/>
      <c r="E450" s="4" t="s">
        <v>855</v>
      </c>
      <c r="F450" s="6" t="b">
        <f t="shared" si="100"/>
        <v>0</v>
      </c>
      <c r="G450" s="6">
        <f t="shared" si="101"/>
        <v>0</v>
      </c>
      <c r="H450" s="6" t="b">
        <f t="shared" si="102"/>
        <v>0</v>
      </c>
      <c r="I450" s="6">
        <f t="shared" si="103"/>
        <v>0</v>
      </c>
    </row>
    <row r="451" spans="1:11" ht="17.25" thickBot="1" x14ac:dyDescent="0.35">
      <c r="B451" s="5"/>
      <c r="C451" s="5"/>
      <c r="D451" s="5"/>
      <c r="E451" s="5" t="s">
        <v>499</v>
      </c>
      <c r="F451" s="6" t="b">
        <f t="shared" ref="F451:F501" si="116">NOT(ISBLANK(D451))</f>
        <v>0</v>
      </c>
      <c r="G451" s="6">
        <f t="shared" ref="G451:G501" si="117">IF(F451=TRUE, 1, 0)</f>
        <v>0</v>
      </c>
      <c r="H451" s="6" t="b">
        <f t="shared" ref="H451:H502" si="118">hascolor(E451,$E$6)</f>
        <v>0</v>
      </c>
      <c r="I451" s="6">
        <f t="shared" ref="I451:I503" si="119">IF(H451, 1, 0)</f>
        <v>0</v>
      </c>
      <c r="J451">
        <f t="shared" ref="J451" si="120">IF(hascolor(E447:E451,$E$6)=TRUE, 1, 0)</f>
        <v>1</v>
      </c>
      <c r="K451">
        <f>SUM(J402:J451)</f>
        <v>10</v>
      </c>
    </row>
    <row r="452" spans="1:11" ht="17.25" thickBot="1" x14ac:dyDescent="0.35">
      <c r="A452" s="2" t="s">
        <v>117</v>
      </c>
      <c r="B452" s="6" t="s">
        <v>81</v>
      </c>
      <c r="C452" s="6" t="s">
        <v>443</v>
      </c>
      <c r="D452" s="6" t="s">
        <v>400</v>
      </c>
      <c r="E452" s="13" t="s">
        <v>856</v>
      </c>
      <c r="F452" s="6" t="b">
        <f t="shared" si="116"/>
        <v>1</v>
      </c>
      <c r="G452" s="6">
        <f t="shared" si="117"/>
        <v>1</v>
      </c>
      <c r="H452" s="6" t="b">
        <f t="shared" si="118"/>
        <v>1</v>
      </c>
      <c r="I452" s="6">
        <f t="shared" si="119"/>
        <v>1</v>
      </c>
    </row>
    <row r="453" spans="1:11" ht="17.25" thickBot="1" x14ac:dyDescent="0.35">
      <c r="B453" s="4"/>
      <c r="C453" s="4" t="s">
        <v>444</v>
      </c>
      <c r="D453" s="4" t="s">
        <v>413</v>
      </c>
      <c r="E453" s="4" t="s">
        <v>857</v>
      </c>
      <c r="F453" s="6" t="b">
        <f t="shared" si="116"/>
        <v>1</v>
      </c>
      <c r="G453" s="6">
        <f t="shared" si="117"/>
        <v>1</v>
      </c>
      <c r="H453" s="6" t="b">
        <f t="shared" si="118"/>
        <v>0</v>
      </c>
      <c r="I453" s="6">
        <f t="shared" si="119"/>
        <v>0</v>
      </c>
    </row>
    <row r="454" spans="1:11" ht="17.25" thickBot="1" x14ac:dyDescent="0.35">
      <c r="B454" s="4"/>
      <c r="C454" s="4" t="s">
        <v>453</v>
      </c>
      <c r="E454" s="14" t="s">
        <v>858</v>
      </c>
      <c r="F454" s="6" t="b">
        <f t="shared" si="116"/>
        <v>0</v>
      </c>
      <c r="G454" s="6">
        <f t="shared" si="117"/>
        <v>0</v>
      </c>
      <c r="H454" s="6" t="b">
        <f t="shared" si="118"/>
        <v>1</v>
      </c>
      <c r="I454" s="6">
        <f t="shared" si="119"/>
        <v>1</v>
      </c>
    </row>
    <row r="455" spans="1:11" ht="17.25" thickBot="1" x14ac:dyDescent="0.35">
      <c r="B455" s="4"/>
      <c r="C455" s="4" t="s">
        <v>454</v>
      </c>
      <c r="D455" s="4"/>
      <c r="E455" s="4" t="s">
        <v>859</v>
      </c>
      <c r="F455" s="6" t="b">
        <f t="shared" si="116"/>
        <v>0</v>
      </c>
      <c r="G455" s="6">
        <f t="shared" si="117"/>
        <v>0</v>
      </c>
      <c r="H455" s="6" t="b">
        <f t="shared" si="118"/>
        <v>0</v>
      </c>
      <c r="I455" s="6">
        <f t="shared" si="119"/>
        <v>0</v>
      </c>
    </row>
    <row r="456" spans="1:11" ht="17.25" thickBot="1" x14ac:dyDescent="0.35">
      <c r="B456" s="5"/>
      <c r="C456" s="5"/>
      <c r="D456" s="5"/>
      <c r="E456" s="5" t="s">
        <v>469</v>
      </c>
      <c r="F456" s="6" t="b">
        <f t="shared" si="116"/>
        <v>0</v>
      </c>
      <c r="G456" s="6">
        <f t="shared" si="117"/>
        <v>0</v>
      </c>
      <c r="H456" s="6" t="b">
        <f t="shared" si="118"/>
        <v>0</v>
      </c>
      <c r="I456" s="6">
        <f t="shared" si="119"/>
        <v>0</v>
      </c>
      <c r="J456">
        <f t="shared" ref="J456" si="121">IF(hascolor(E452:E456,$E$6)=TRUE, 1, 0)</f>
        <v>1</v>
      </c>
    </row>
    <row r="457" spans="1:11" ht="17.25" thickBot="1" x14ac:dyDescent="0.35">
      <c r="B457" s="6" t="s">
        <v>82</v>
      </c>
      <c r="C457" s="6" t="s">
        <v>445</v>
      </c>
      <c r="D457" s="6" t="s">
        <v>401</v>
      </c>
      <c r="E457" s="13" t="s">
        <v>860</v>
      </c>
      <c r="F457" s="6" t="b">
        <f t="shared" si="116"/>
        <v>1</v>
      </c>
      <c r="G457" s="6">
        <f t="shared" si="117"/>
        <v>1</v>
      </c>
      <c r="H457" s="6" t="b">
        <f t="shared" si="118"/>
        <v>1</v>
      </c>
      <c r="I457" s="6">
        <f t="shared" si="119"/>
        <v>1</v>
      </c>
    </row>
    <row r="458" spans="1:11" ht="17.25" thickBot="1" x14ac:dyDescent="0.35">
      <c r="B458" s="4"/>
      <c r="C458" s="4" t="s">
        <v>446</v>
      </c>
      <c r="D458" s="4"/>
      <c r="E458" s="4" t="s">
        <v>861</v>
      </c>
      <c r="F458" s="6" t="b">
        <f t="shared" si="116"/>
        <v>0</v>
      </c>
      <c r="G458" s="6">
        <f t="shared" si="117"/>
        <v>0</v>
      </c>
      <c r="H458" s="6" t="b">
        <f t="shared" si="118"/>
        <v>0</v>
      </c>
      <c r="I458" s="6">
        <f t="shared" si="119"/>
        <v>0</v>
      </c>
    </row>
    <row r="459" spans="1:11" ht="17.25" thickBot="1" x14ac:dyDescent="0.35">
      <c r="B459" s="4"/>
      <c r="C459" s="4" t="s">
        <v>447</v>
      </c>
      <c r="D459" s="4"/>
      <c r="E459" t="s">
        <v>858</v>
      </c>
      <c r="F459" s="6" t="b">
        <f t="shared" si="116"/>
        <v>0</v>
      </c>
      <c r="G459" s="6">
        <f t="shared" si="117"/>
        <v>0</v>
      </c>
      <c r="H459" s="6" t="b">
        <f t="shared" si="118"/>
        <v>0</v>
      </c>
      <c r="I459" s="6">
        <f t="shared" si="119"/>
        <v>0</v>
      </c>
    </row>
    <row r="460" spans="1:11" ht="17.25" thickBot="1" x14ac:dyDescent="0.35">
      <c r="B460" s="4"/>
      <c r="C460" s="4" t="s">
        <v>448</v>
      </c>
      <c r="D460" s="4"/>
      <c r="E460" s="4" t="s">
        <v>856</v>
      </c>
      <c r="F460" s="6" t="b">
        <f t="shared" si="116"/>
        <v>0</v>
      </c>
      <c r="G460" s="6">
        <f t="shared" si="117"/>
        <v>0</v>
      </c>
      <c r="H460" s="6" t="b">
        <f t="shared" si="118"/>
        <v>0</v>
      </c>
      <c r="I460" s="6">
        <f t="shared" si="119"/>
        <v>0</v>
      </c>
    </row>
    <row r="461" spans="1:11" ht="17.25" thickBot="1" x14ac:dyDescent="0.35">
      <c r="B461" s="5"/>
      <c r="C461" s="5"/>
      <c r="D461" s="5"/>
      <c r="E461" s="5" t="s">
        <v>467</v>
      </c>
      <c r="F461" s="6" t="b">
        <f t="shared" si="116"/>
        <v>0</v>
      </c>
      <c r="G461" s="6">
        <f t="shared" si="117"/>
        <v>0</v>
      </c>
      <c r="H461" s="6" t="b">
        <f t="shared" si="118"/>
        <v>0</v>
      </c>
      <c r="I461" s="6">
        <f t="shared" si="119"/>
        <v>0</v>
      </c>
      <c r="J461">
        <f t="shared" ref="J461" si="122">IF(hascolor(E457:E461,$E$6)=TRUE, 1, 0)</f>
        <v>1</v>
      </c>
    </row>
    <row r="462" spans="1:11" ht="17.25" thickBot="1" x14ac:dyDescent="0.35">
      <c r="B462" s="6" t="s">
        <v>83</v>
      </c>
      <c r="C462" s="6" t="s">
        <v>449</v>
      </c>
      <c r="D462" s="6" t="s">
        <v>402</v>
      </c>
      <c r="E462" s="6" t="s">
        <v>862</v>
      </c>
      <c r="F462" s="6" t="b">
        <f t="shared" si="116"/>
        <v>1</v>
      </c>
      <c r="G462" s="6">
        <f t="shared" si="117"/>
        <v>1</v>
      </c>
      <c r="H462" s="6" t="b">
        <f t="shared" si="118"/>
        <v>0</v>
      </c>
      <c r="I462" s="6">
        <f t="shared" si="119"/>
        <v>0</v>
      </c>
    </row>
    <row r="463" spans="1:11" ht="17.25" thickBot="1" x14ac:dyDescent="0.35">
      <c r="B463" s="4"/>
      <c r="C463" s="4"/>
      <c r="D463" s="4"/>
      <c r="E463" s="4" t="s">
        <v>861</v>
      </c>
      <c r="F463" s="6" t="b">
        <f t="shared" si="116"/>
        <v>0</v>
      </c>
      <c r="G463" s="6">
        <f t="shared" si="117"/>
        <v>0</v>
      </c>
      <c r="H463" s="6" t="b">
        <f t="shared" si="118"/>
        <v>0</v>
      </c>
      <c r="I463" s="6">
        <f t="shared" si="119"/>
        <v>0</v>
      </c>
    </row>
    <row r="464" spans="1:11" ht="17.25" thickBot="1" x14ac:dyDescent="0.35">
      <c r="B464" s="4"/>
      <c r="C464" s="4"/>
      <c r="D464" s="4"/>
      <c r="E464" t="s">
        <v>863</v>
      </c>
      <c r="F464" s="6" t="b">
        <f t="shared" si="116"/>
        <v>0</v>
      </c>
      <c r="G464" s="6">
        <f t="shared" si="117"/>
        <v>0</v>
      </c>
      <c r="H464" s="6" t="b">
        <f t="shared" si="118"/>
        <v>0</v>
      </c>
      <c r="I464" s="6">
        <f t="shared" si="119"/>
        <v>0</v>
      </c>
    </row>
    <row r="465" spans="2:10" ht="17.25" thickBot="1" x14ac:dyDescent="0.35">
      <c r="B465" s="4"/>
      <c r="C465" s="4"/>
      <c r="D465" s="4"/>
      <c r="E465" s="11" t="s">
        <v>864</v>
      </c>
      <c r="F465" s="6" t="b">
        <f t="shared" si="116"/>
        <v>0</v>
      </c>
      <c r="G465" s="6">
        <f t="shared" si="117"/>
        <v>0</v>
      </c>
      <c r="H465" s="6" t="b">
        <f t="shared" si="118"/>
        <v>1</v>
      </c>
      <c r="I465" s="6">
        <f t="shared" si="119"/>
        <v>1</v>
      </c>
    </row>
    <row r="466" spans="2:10" ht="17.25" thickBot="1" x14ac:dyDescent="0.35">
      <c r="B466" s="5"/>
      <c r="C466" s="5"/>
      <c r="D466" s="5"/>
      <c r="E466" s="5" t="s">
        <v>558</v>
      </c>
      <c r="F466" s="6" t="b">
        <f t="shared" si="116"/>
        <v>0</v>
      </c>
      <c r="G466" s="6">
        <f t="shared" si="117"/>
        <v>0</v>
      </c>
      <c r="H466" s="6" t="b">
        <f t="shared" si="118"/>
        <v>0</v>
      </c>
      <c r="I466" s="6">
        <f t="shared" si="119"/>
        <v>0</v>
      </c>
      <c r="J466">
        <f t="shared" ref="J466" si="123">IF(hascolor(E462:E466,$E$6)=TRUE, 1, 0)</f>
        <v>1</v>
      </c>
    </row>
    <row r="467" spans="2:10" ht="17.25" thickBot="1" x14ac:dyDescent="0.35">
      <c r="B467" s="6" t="s">
        <v>84</v>
      </c>
      <c r="C467" s="6" t="s">
        <v>450</v>
      </c>
      <c r="D467" s="6" t="s">
        <v>403</v>
      </c>
      <c r="E467" s="13" t="s">
        <v>865</v>
      </c>
      <c r="F467" s="6" t="b">
        <f t="shared" si="116"/>
        <v>1</v>
      </c>
      <c r="G467" s="6">
        <f t="shared" si="117"/>
        <v>1</v>
      </c>
      <c r="H467" s="6" t="b">
        <f t="shared" si="118"/>
        <v>1</v>
      </c>
      <c r="I467" s="6">
        <f t="shared" si="119"/>
        <v>1</v>
      </c>
    </row>
    <row r="468" spans="2:10" ht="17.25" thickBot="1" x14ac:dyDescent="0.35">
      <c r="B468" s="4"/>
      <c r="C468" s="4" t="s">
        <v>451</v>
      </c>
      <c r="D468" s="4" t="s">
        <v>404</v>
      </c>
      <c r="E468" s="4" t="s">
        <v>866</v>
      </c>
      <c r="F468" s="6" t="b">
        <f t="shared" si="116"/>
        <v>1</v>
      </c>
      <c r="G468" s="6">
        <f t="shared" si="117"/>
        <v>1</v>
      </c>
      <c r="H468" s="6" t="b">
        <f t="shared" si="118"/>
        <v>0</v>
      </c>
      <c r="I468" s="6">
        <f t="shared" si="119"/>
        <v>0</v>
      </c>
    </row>
    <row r="469" spans="2:10" ht="17.25" thickBot="1" x14ac:dyDescent="0.35">
      <c r="B469" s="4"/>
      <c r="C469" s="4"/>
      <c r="D469" s="4"/>
      <c r="E469" t="s">
        <v>863</v>
      </c>
      <c r="F469" s="6" t="b">
        <f t="shared" si="116"/>
        <v>0</v>
      </c>
      <c r="G469" s="6">
        <f t="shared" si="117"/>
        <v>0</v>
      </c>
      <c r="H469" s="6" t="b">
        <f t="shared" si="118"/>
        <v>0</v>
      </c>
      <c r="I469" s="6">
        <f t="shared" si="119"/>
        <v>0</v>
      </c>
    </row>
    <row r="470" spans="2:10" ht="17.25" thickBot="1" x14ac:dyDescent="0.35">
      <c r="B470" s="4"/>
      <c r="C470" s="4"/>
      <c r="D470" s="4"/>
      <c r="E470" s="4" t="s">
        <v>857</v>
      </c>
      <c r="F470" s="6" t="b">
        <f t="shared" si="116"/>
        <v>0</v>
      </c>
      <c r="G470" s="6">
        <f t="shared" si="117"/>
        <v>0</v>
      </c>
      <c r="H470" s="6" t="b">
        <f t="shared" si="118"/>
        <v>0</v>
      </c>
      <c r="I470" s="6">
        <f t="shared" si="119"/>
        <v>0</v>
      </c>
    </row>
    <row r="471" spans="2:10" ht="17.25" thickBot="1" x14ac:dyDescent="0.35">
      <c r="B471" s="5"/>
      <c r="C471" s="5"/>
      <c r="D471" s="5"/>
      <c r="E471" s="5" t="s">
        <v>556</v>
      </c>
      <c r="F471" s="6" t="b">
        <f t="shared" si="116"/>
        <v>0</v>
      </c>
      <c r="G471" s="6">
        <f t="shared" si="117"/>
        <v>0</v>
      </c>
      <c r="H471" s="6" t="b">
        <f t="shared" si="118"/>
        <v>0</v>
      </c>
      <c r="I471" s="6">
        <f t="shared" si="119"/>
        <v>0</v>
      </c>
      <c r="J471">
        <f t="shared" ref="J471" si="124">IF(hascolor(E467:E471,$E$6)=TRUE, 1, 0)</f>
        <v>1</v>
      </c>
    </row>
    <row r="472" spans="2:10" ht="17.25" thickBot="1" x14ac:dyDescent="0.35">
      <c r="B472" s="6" t="s">
        <v>85</v>
      </c>
      <c r="C472" s="6" t="s">
        <v>443</v>
      </c>
      <c r="D472" s="6" t="s">
        <v>405</v>
      </c>
      <c r="E472" s="13" t="s">
        <v>856</v>
      </c>
      <c r="F472" s="6" t="b">
        <f t="shared" si="116"/>
        <v>1</v>
      </c>
      <c r="G472" s="6">
        <f t="shared" si="117"/>
        <v>1</v>
      </c>
      <c r="H472" s="6" t="b">
        <f t="shared" si="118"/>
        <v>1</v>
      </c>
      <c r="I472" s="6">
        <f t="shared" si="119"/>
        <v>1</v>
      </c>
    </row>
    <row r="473" spans="2:10" ht="17.25" thickBot="1" x14ac:dyDescent="0.35">
      <c r="B473" s="4"/>
      <c r="C473" s="4" t="s">
        <v>453</v>
      </c>
      <c r="D473" s="4" t="s">
        <v>413</v>
      </c>
      <c r="E473" s="11" t="s">
        <v>858</v>
      </c>
      <c r="F473" s="6" t="b">
        <f t="shared" si="116"/>
        <v>1</v>
      </c>
      <c r="G473" s="6">
        <f t="shared" si="117"/>
        <v>1</v>
      </c>
      <c r="H473" s="6" t="b">
        <f t="shared" si="118"/>
        <v>1</v>
      </c>
      <c r="I473" s="6">
        <f t="shared" si="119"/>
        <v>1</v>
      </c>
    </row>
    <row r="474" spans="2:10" ht="17.25" thickBot="1" x14ac:dyDescent="0.35">
      <c r="B474" s="4"/>
      <c r="C474" s="4"/>
      <c r="D474" s="4"/>
      <c r="E474" t="s">
        <v>857</v>
      </c>
      <c r="F474" s="6" t="b">
        <f t="shared" si="116"/>
        <v>0</v>
      </c>
      <c r="G474" s="6">
        <f t="shared" si="117"/>
        <v>0</v>
      </c>
      <c r="H474" s="6" t="b">
        <f t="shared" si="118"/>
        <v>0</v>
      </c>
      <c r="I474" s="6">
        <f t="shared" si="119"/>
        <v>0</v>
      </c>
    </row>
    <row r="475" spans="2:10" ht="17.25" thickBot="1" x14ac:dyDescent="0.35">
      <c r="B475" s="4"/>
      <c r="C475" s="4"/>
      <c r="D475" s="4"/>
      <c r="E475" s="4" t="s">
        <v>861</v>
      </c>
      <c r="F475" s="6" t="b">
        <f t="shared" si="116"/>
        <v>0</v>
      </c>
      <c r="G475" s="6">
        <f t="shared" si="117"/>
        <v>0</v>
      </c>
      <c r="H475" s="6" t="b">
        <f t="shared" si="118"/>
        <v>0</v>
      </c>
      <c r="I475" s="6">
        <f t="shared" si="119"/>
        <v>0</v>
      </c>
    </row>
    <row r="476" spans="2:10" ht="17.25" thickBot="1" x14ac:dyDescent="0.35">
      <c r="B476" s="5"/>
      <c r="C476" s="5"/>
      <c r="D476" s="5"/>
      <c r="E476" s="5" t="s">
        <v>468</v>
      </c>
      <c r="F476" s="6" t="b">
        <f t="shared" si="116"/>
        <v>0</v>
      </c>
      <c r="G476" s="6">
        <f t="shared" si="117"/>
        <v>0</v>
      </c>
      <c r="H476" s="6" t="b">
        <f t="shared" si="118"/>
        <v>0</v>
      </c>
      <c r="I476" s="6">
        <f t="shared" si="119"/>
        <v>0</v>
      </c>
      <c r="J476">
        <f t="shared" ref="J476" si="125">IF(hascolor(E472:E476,$E$6)=TRUE, 1, 0)</f>
        <v>1</v>
      </c>
    </row>
    <row r="477" spans="2:10" ht="17.25" thickBot="1" x14ac:dyDescent="0.35">
      <c r="B477" s="6" t="s">
        <v>86</v>
      </c>
      <c r="C477" s="6" t="s">
        <v>452</v>
      </c>
      <c r="D477" s="6" t="s">
        <v>404</v>
      </c>
      <c r="E477" s="13" t="s">
        <v>865</v>
      </c>
      <c r="F477" s="6" t="b">
        <f t="shared" si="116"/>
        <v>1</v>
      </c>
      <c r="G477" s="6">
        <f t="shared" si="117"/>
        <v>1</v>
      </c>
      <c r="H477" s="6" t="b">
        <f t="shared" si="118"/>
        <v>1</v>
      </c>
      <c r="I477" s="6">
        <f t="shared" si="119"/>
        <v>1</v>
      </c>
    </row>
    <row r="478" spans="2:10" ht="17.25" thickBot="1" x14ac:dyDescent="0.35">
      <c r="B478" s="4"/>
      <c r="C478" s="4" t="s">
        <v>451</v>
      </c>
      <c r="D478" s="4" t="s">
        <v>404</v>
      </c>
      <c r="E478" s="4" t="s">
        <v>867</v>
      </c>
      <c r="F478" s="6" t="b">
        <f t="shared" si="116"/>
        <v>1</v>
      </c>
      <c r="G478" s="6">
        <f t="shared" si="117"/>
        <v>1</v>
      </c>
      <c r="H478" s="6" t="b">
        <f t="shared" si="118"/>
        <v>0</v>
      </c>
      <c r="I478" s="6">
        <f t="shared" si="119"/>
        <v>0</v>
      </c>
    </row>
    <row r="479" spans="2:10" ht="17.25" thickBot="1" x14ac:dyDescent="0.35">
      <c r="B479" s="4"/>
      <c r="C479" s="4"/>
      <c r="D479" s="4"/>
      <c r="E479" t="s">
        <v>856</v>
      </c>
      <c r="F479" s="6" t="b">
        <f t="shared" si="116"/>
        <v>0</v>
      </c>
      <c r="G479" s="6">
        <f t="shared" si="117"/>
        <v>0</v>
      </c>
      <c r="H479" s="6" t="b">
        <f t="shared" si="118"/>
        <v>0</v>
      </c>
      <c r="I479" s="6">
        <f t="shared" si="119"/>
        <v>0</v>
      </c>
    </row>
    <row r="480" spans="2:10" ht="17.25" thickBot="1" x14ac:dyDescent="0.35">
      <c r="B480" s="4"/>
      <c r="C480" s="4"/>
      <c r="D480" s="4"/>
      <c r="E480" s="4" t="s">
        <v>861</v>
      </c>
      <c r="F480" s="6" t="b">
        <f t="shared" si="116"/>
        <v>0</v>
      </c>
      <c r="G480" s="6">
        <f t="shared" si="117"/>
        <v>0</v>
      </c>
      <c r="H480" s="6" t="b">
        <f t="shared" si="118"/>
        <v>0</v>
      </c>
      <c r="I480" s="6">
        <f t="shared" si="119"/>
        <v>0</v>
      </c>
    </row>
    <row r="481" spans="2:10" ht="17.25" thickBot="1" x14ac:dyDescent="0.35">
      <c r="B481" s="5"/>
      <c r="C481" s="5"/>
      <c r="D481" s="5"/>
      <c r="E481" s="5" t="s">
        <v>558</v>
      </c>
      <c r="F481" s="6" t="b">
        <f t="shared" si="116"/>
        <v>0</v>
      </c>
      <c r="G481" s="6">
        <f t="shared" si="117"/>
        <v>0</v>
      </c>
      <c r="H481" s="6" t="b">
        <f t="shared" si="118"/>
        <v>0</v>
      </c>
      <c r="I481" s="6">
        <f t="shared" si="119"/>
        <v>0</v>
      </c>
      <c r="J481">
        <f t="shared" ref="J481" si="126">IF(hascolor(E477:E481,$E$6)=TRUE, 1, 0)</f>
        <v>1</v>
      </c>
    </row>
    <row r="482" spans="2:10" ht="17.25" thickBot="1" x14ac:dyDescent="0.35">
      <c r="B482" s="6" t="s">
        <v>87</v>
      </c>
      <c r="C482" s="6" t="s">
        <v>291</v>
      </c>
      <c r="D482" s="6" t="s">
        <v>406</v>
      </c>
      <c r="E482" s="13" t="s">
        <v>868</v>
      </c>
      <c r="F482" s="6" t="b">
        <f t="shared" si="116"/>
        <v>1</v>
      </c>
      <c r="G482" s="6">
        <f t="shared" si="117"/>
        <v>1</v>
      </c>
      <c r="H482" s="6" t="b">
        <f t="shared" si="118"/>
        <v>1</v>
      </c>
      <c r="I482" s="6">
        <f t="shared" si="119"/>
        <v>1</v>
      </c>
    </row>
    <row r="483" spans="2:10" ht="17.25" thickBot="1" x14ac:dyDescent="0.35">
      <c r="B483" s="4"/>
      <c r="C483" s="4" t="s">
        <v>292</v>
      </c>
      <c r="D483" s="4" t="s">
        <v>407</v>
      </c>
      <c r="E483" s="11" t="s">
        <v>869</v>
      </c>
      <c r="F483" s="6" t="b">
        <f t="shared" si="116"/>
        <v>1</v>
      </c>
      <c r="G483" s="6">
        <f t="shared" si="117"/>
        <v>1</v>
      </c>
      <c r="H483" s="6" t="b">
        <f t="shared" si="118"/>
        <v>1</v>
      </c>
      <c r="I483" s="6">
        <f t="shared" si="119"/>
        <v>1</v>
      </c>
    </row>
    <row r="484" spans="2:10" ht="17.25" thickBot="1" x14ac:dyDescent="0.35">
      <c r="B484" s="4"/>
      <c r="C484" s="4"/>
      <c r="D484" s="4"/>
      <c r="E484" t="s">
        <v>864</v>
      </c>
      <c r="F484" s="6" t="b">
        <f t="shared" si="116"/>
        <v>0</v>
      </c>
      <c r="G484" s="6">
        <f t="shared" si="117"/>
        <v>0</v>
      </c>
      <c r="H484" s="6" t="b">
        <f t="shared" si="118"/>
        <v>0</v>
      </c>
      <c r="I484" s="6">
        <f t="shared" si="119"/>
        <v>0</v>
      </c>
    </row>
    <row r="485" spans="2:10" ht="17.25" thickBot="1" x14ac:dyDescent="0.35">
      <c r="B485" s="4"/>
      <c r="C485" s="4"/>
      <c r="D485" s="4"/>
      <c r="E485" s="4" t="s">
        <v>861</v>
      </c>
      <c r="F485" s="6" t="b">
        <f t="shared" si="116"/>
        <v>0</v>
      </c>
      <c r="G485" s="6">
        <f t="shared" si="117"/>
        <v>0</v>
      </c>
      <c r="H485" s="6" t="b">
        <f t="shared" si="118"/>
        <v>0</v>
      </c>
      <c r="I485" s="6">
        <f t="shared" si="119"/>
        <v>0</v>
      </c>
    </row>
    <row r="486" spans="2:10" ht="17.25" thickBot="1" x14ac:dyDescent="0.35">
      <c r="B486" s="5"/>
      <c r="C486" s="5"/>
      <c r="D486" s="5"/>
      <c r="E486" s="5" t="s">
        <v>466</v>
      </c>
      <c r="F486" s="6" t="b">
        <f t="shared" si="116"/>
        <v>0</v>
      </c>
      <c r="G486" s="6">
        <f t="shared" si="117"/>
        <v>0</v>
      </c>
      <c r="H486" s="6" t="b">
        <f t="shared" si="118"/>
        <v>0</v>
      </c>
      <c r="I486" s="6">
        <f t="shared" si="119"/>
        <v>0</v>
      </c>
      <c r="J486">
        <f t="shared" ref="J486" si="127">IF(hascolor(E482:E486,$E$6)=TRUE, 1, 0)</f>
        <v>1</v>
      </c>
    </row>
    <row r="487" spans="2:10" ht="17.25" thickBot="1" x14ac:dyDescent="0.35">
      <c r="B487" s="6" t="s">
        <v>88</v>
      </c>
      <c r="C487" s="6" t="s">
        <v>298</v>
      </c>
      <c r="D487" s="6" t="s">
        <v>408</v>
      </c>
      <c r="E487" s="13" t="s">
        <v>866</v>
      </c>
      <c r="F487" s="6" t="b">
        <f t="shared" si="116"/>
        <v>1</v>
      </c>
      <c r="G487" s="6">
        <f t="shared" si="117"/>
        <v>1</v>
      </c>
      <c r="H487" s="6" t="b">
        <f t="shared" si="118"/>
        <v>1</v>
      </c>
      <c r="I487" s="6">
        <f t="shared" si="119"/>
        <v>1</v>
      </c>
    </row>
    <row r="488" spans="2:10" ht="17.25" thickBot="1" x14ac:dyDescent="0.35">
      <c r="B488" s="4"/>
      <c r="C488" s="4" t="s">
        <v>299</v>
      </c>
      <c r="D488" s="4" t="s">
        <v>409</v>
      </c>
      <c r="E488" s="11" t="s">
        <v>870</v>
      </c>
      <c r="F488" s="6" t="b">
        <f t="shared" si="116"/>
        <v>1</v>
      </c>
      <c r="G488" s="6">
        <f t="shared" si="117"/>
        <v>1</v>
      </c>
      <c r="H488" s="6" t="b">
        <f t="shared" si="118"/>
        <v>1</v>
      </c>
      <c r="I488" s="6">
        <f t="shared" si="119"/>
        <v>1</v>
      </c>
    </row>
    <row r="489" spans="2:10" ht="17.25" thickBot="1" x14ac:dyDescent="0.35">
      <c r="B489" s="4"/>
      <c r="C489" s="4"/>
      <c r="D489" s="4"/>
      <c r="E489" t="s">
        <v>871</v>
      </c>
      <c r="F489" s="6" t="b">
        <f t="shared" si="116"/>
        <v>0</v>
      </c>
      <c r="G489" s="6">
        <f t="shared" si="117"/>
        <v>0</v>
      </c>
      <c r="H489" s="6" t="b">
        <f t="shared" si="118"/>
        <v>0</v>
      </c>
      <c r="I489" s="6">
        <f t="shared" si="119"/>
        <v>0</v>
      </c>
    </row>
    <row r="490" spans="2:10" ht="17.25" thickBot="1" x14ac:dyDescent="0.35">
      <c r="B490" s="4"/>
      <c r="C490" s="4"/>
      <c r="D490" s="4"/>
      <c r="E490" s="4" t="s">
        <v>872</v>
      </c>
      <c r="F490" s="6" t="b">
        <f t="shared" si="116"/>
        <v>0</v>
      </c>
      <c r="G490" s="6">
        <f t="shared" si="117"/>
        <v>0</v>
      </c>
      <c r="H490" s="6" t="b">
        <f t="shared" si="118"/>
        <v>0</v>
      </c>
      <c r="I490" s="6">
        <f t="shared" si="119"/>
        <v>0</v>
      </c>
    </row>
    <row r="491" spans="2:10" ht="17.25" thickBot="1" x14ac:dyDescent="0.35">
      <c r="B491" s="5"/>
      <c r="C491" s="5"/>
      <c r="D491" s="5"/>
      <c r="E491" s="5" t="s">
        <v>557</v>
      </c>
      <c r="F491" s="6" t="b">
        <f t="shared" si="116"/>
        <v>0</v>
      </c>
      <c r="G491" s="6">
        <f t="shared" si="117"/>
        <v>0</v>
      </c>
      <c r="H491" s="6" t="b">
        <f t="shared" si="118"/>
        <v>0</v>
      </c>
      <c r="I491" s="6">
        <f t="shared" si="119"/>
        <v>0</v>
      </c>
      <c r="J491">
        <f t="shared" ref="J491" si="128">IF(hascolor(E487:E491,$E$6)=TRUE, 1, 0)</f>
        <v>1</v>
      </c>
    </row>
    <row r="492" spans="2:10" ht="17.25" thickBot="1" x14ac:dyDescent="0.35">
      <c r="B492" s="6" t="s">
        <v>89</v>
      </c>
      <c r="C492" s="6" t="s">
        <v>293</v>
      </c>
      <c r="D492" s="6" t="s">
        <v>410</v>
      </c>
      <c r="E492" s="13" t="s">
        <v>873</v>
      </c>
      <c r="F492" s="6" t="b">
        <f t="shared" si="116"/>
        <v>1</v>
      </c>
      <c r="G492" s="6">
        <f t="shared" si="117"/>
        <v>1</v>
      </c>
      <c r="H492" s="6" t="b">
        <f t="shared" si="118"/>
        <v>1</v>
      </c>
      <c r="I492" s="6">
        <f t="shared" si="119"/>
        <v>1</v>
      </c>
    </row>
    <row r="493" spans="2:10" ht="17.25" thickBot="1" x14ac:dyDescent="0.35">
      <c r="B493" s="4"/>
      <c r="C493" s="4" t="s">
        <v>294</v>
      </c>
      <c r="D493" s="4" t="s">
        <v>411</v>
      </c>
      <c r="E493" s="11" t="s">
        <v>874</v>
      </c>
      <c r="F493" s="6" t="b">
        <f t="shared" si="116"/>
        <v>1</v>
      </c>
      <c r="G493" s="6">
        <f t="shared" si="117"/>
        <v>1</v>
      </c>
      <c r="H493" s="6" t="b">
        <f t="shared" si="118"/>
        <v>1</v>
      </c>
      <c r="I493" s="6">
        <f t="shared" si="119"/>
        <v>1</v>
      </c>
    </row>
    <row r="494" spans="2:10" ht="17.25" thickBot="1" x14ac:dyDescent="0.35">
      <c r="B494" s="4"/>
      <c r="C494" s="4" t="s">
        <v>295</v>
      </c>
      <c r="D494" s="4" t="s">
        <v>412</v>
      </c>
      <c r="E494" t="s">
        <v>868</v>
      </c>
      <c r="F494" s="6" t="b">
        <f t="shared" si="116"/>
        <v>1</v>
      </c>
      <c r="G494" s="6">
        <f t="shared" si="117"/>
        <v>1</v>
      </c>
      <c r="H494" s="6" t="b">
        <f t="shared" si="118"/>
        <v>0</v>
      </c>
      <c r="I494" s="6">
        <f t="shared" si="119"/>
        <v>0</v>
      </c>
    </row>
    <row r="495" spans="2:10" ht="17.25" thickBot="1" x14ac:dyDescent="0.35">
      <c r="B495" s="4"/>
      <c r="C495" s="4" t="s">
        <v>296</v>
      </c>
      <c r="E495" s="4" t="s">
        <v>861</v>
      </c>
      <c r="F495" s="6" t="b">
        <f t="shared" si="116"/>
        <v>0</v>
      </c>
      <c r="G495" s="6">
        <f t="shared" si="117"/>
        <v>0</v>
      </c>
      <c r="H495" s="6" t="b">
        <f t="shared" si="118"/>
        <v>0</v>
      </c>
      <c r="I495" s="6">
        <f t="shared" si="119"/>
        <v>0</v>
      </c>
    </row>
    <row r="496" spans="2:10" ht="17.25" thickBot="1" x14ac:dyDescent="0.35">
      <c r="B496" s="5"/>
      <c r="C496" s="5"/>
      <c r="D496" s="5"/>
      <c r="E496" s="5" t="s">
        <v>500</v>
      </c>
      <c r="F496" s="6" t="b">
        <f t="shared" si="116"/>
        <v>0</v>
      </c>
      <c r="G496" s="6">
        <f t="shared" si="117"/>
        <v>0</v>
      </c>
      <c r="H496" s="6" t="b">
        <f t="shared" si="118"/>
        <v>0</v>
      </c>
      <c r="I496" s="6">
        <f t="shared" si="119"/>
        <v>0</v>
      </c>
      <c r="J496">
        <f t="shared" ref="J496" si="129">IF(hascolor(E492:E496,$E$6)=TRUE, 1, 0)</f>
        <v>1</v>
      </c>
    </row>
    <row r="497" spans="2:11" ht="17.25" thickBot="1" x14ac:dyDescent="0.35">
      <c r="B497" s="6" t="s">
        <v>90</v>
      </c>
      <c r="C497" s="6" t="s">
        <v>297</v>
      </c>
      <c r="D497" s="6" t="s">
        <v>404</v>
      </c>
      <c r="E497" s="13" t="s">
        <v>865</v>
      </c>
      <c r="F497" s="6" t="b">
        <f t="shared" si="116"/>
        <v>1</v>
      </c>
      <c r="G497" s="6">
        <f t="shared" si="117"/>
        <v>1</v>
      </c>
      <c r="H497" s="6" t="b">
        <f t="shared" si="118"/>
        <v>1</v>
      </c>
      <c r="I497" s="6">
        <f t="shared" si="119"/>
        <v>1</v>
      </c>
    </row>
    <row r="498" spans="2:11" ht="17.25" thickBot="1" x14ac:dyDescent="0.35">
      <c r="B498" s="4"/>
      <c r="C498" s="4"/>
      <c r="D498" s="4"/>
      <c r="E498" s="4" t="s">
        <v>867</v>
      </c>
      <c r="F498" s="6" t="b">
        <f t="shared" si="116"/>
        <v>0</v>
      </c>
      <c r="G498" s="6">
        <f t="shared" si="117"/>
        <v>0</v>
      </c>
      <c r="H498" s="6" t="b">
        <f t="shared" si="118"/>
        <v>0</v>
      </c>
      <c r="I498" s="6">
        <f t="shared" si="119"/>
        <v>0</v>
      </c>
    </row>
    <row r="499" spans="2:11" ht="17.25" thickBot="1" x14ac:dyDescent="0.35">
      <c r="B499" s="4"/>
      <c r="C499" s="4"/>
      <c r="D499" s="4"/>
      <c r="E499" t="s">
        <v>860</v>
      </c>
      <c r="F499" s="6" t="b">
        <f t="shared" si="116"/>
        <v>0</v>
      </c>
      <c r="G499" s="6">
        <f t="shared" si="117"/>
        <v>0</v>
      </c>
      <c r="H499" s="6" t="b">
        <f t="shared" si="118"/>
        <v>0</v>
      </c>
      <c r="I499" s="6">
        <f t="shared" si="119"/>
        <v>0</v>
      </c>
    </row>
    <row r="500" spans="2:11" ht="17.25" thickBot="1" x14ac:dyDescent="0.35">
      <c r="B500" s="4"/>
      <c r="C500" s="4"/>
      <c r="D500" s="4"/>
      <c r="E500" s="4" t="s">
        <v>856</v>
      </c>
      <c r="F500" s="6" t="b">
        <f t="shared" si="116"/>
        <v>0</v>
      </c>
      <c r="G500" s="6">
        <f t="shared" si="117"/>
        <v>0</v>
      </c>
      <c r="H500" s="6" t="b">
        <f t="shared" si="118"/>
        <v>0</v>
      </c>
      <c r="I500" s="6">
        <f t="shared" si="119"/>
        <v>0</v>
      </c>
    </row>
    <row r="501" spans="2:11" ht="17.25" thickBot="1" x14ac:dyDescent="0.35">
      <c r="B501" s="5"/>
      <c r="C501" s="5"/>
      <c r="D501" s="5"/>
      <c r="E501" s="5" t="s">
        <v>559</v>
      </c>
      <c r="F501" s="6" t="b">
        <f t="shared" si="116"/>
        <v>0</v>
      </c>
      <c r="G501" s="6">
        <f t="shared" si="117"/>
        <v>0</v>
      </c>
      <c r="H501" s="6" t="b">
        <f t="shared" si="118"/>
        <v>0</v>
      </c>
      <c r="I501" s="6">
        <f>IF(H501, 1, 0)</f>
        <v>0</v>
      </c>
      <c r="J501">
        <f t="shared" ref="J501" si="130">IF(hascolor(E497:E501,$E$6)=TRUE, 1, 0)</f>
        <v>1</v>
      </c>
      <c r="K501">
        <f>SUM(J452:J501)</f>
        <v>10</v>
      </c>
    </row>
    <row r="502" spans="2:11" ht="17.25" thickBot="1" x14ac:dyDescent="0.35">
      <c r="H502" s="6" t="b">
        <f t="shared" si="118"/>
        <v>0</v>
      </c>
      <c r="I502" s="6">
        <f t="shared" si="119"/>
        <v>0</v>
      </c>
    </row>
    <row r="503" spans="2:11" x14ac:dyDescent="0.3">
      <c r="G503" s="7">
        <f>SUM(G2:G501)</f>
        <v>205</v>
      </c>
      <c r="H503" s="15">
        <f>SUM(I2:I502)</f>
        <v>174</v>
      </c>
      <c r="I503" s="6">
        <f t="shared" si="119"/>
        <v>1</v>
      </c>
      <c r="K503">
        <f>J502/100</f>
        <v>0</v>
      </c>
    </row>
    <row r="504" spans="2:11" x14ac:dyDescent="0.3">
      <c r="G504">
        <f>H505/G503%</f>
        <v>0</v>
      </c>
      <c r="J504">
        <f>SUM(J2:J501)</f>
        <v>100</v>
      </c>
    </row>
    <row r="505" spans="2:11" x14ac:dyDescent="0.3">
      <c r="H505" s="9"/>
    </row>
    <row r="508" spans="2:11" x14ac:dyDescent="0.3">
      <c r="G508" s="10"/>
    </row>
    <row r="556" ht="16.5" customHeight="1" x14ac:dyDescent="0.3"/>
  </sheetData>
  <phoneticPr fontId="2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박세경 PARK Sekyeong</cp:lastModifiedBy>
  <dcterms:created xsi:type="dcterms:W3CDTF">2025-06-26T08:28:44Z</dcterms:created>
  <dcterms:modified xsi:type="dcterms:W3CDTF">2025-07-14T02:12:21Z</dcterms:modified>
</cp:coreProperties>
</file>