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C3C11E06-FDF3-424C-A079-5921C11ADF95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376" i="1"/>
  <c r="J436" i="1"/>
  <c r="J496" i="1"/>
  <c r="J386" i="1"/>
  <c r="J31" i="1"/>
  <c r="J451" i="1"/>
  <c r="J276" i="1"/>
  <c r="J456" i="1"/>
  <c r="J101" i="1"/>
  <c r="J341" i="1"/>
  <c r="J106" i="1"/>
  <c r="J346" i="1"/>
  <c r="J111" i="1"/>
  <c r="J291" i="1"/>
  <c r="J116" i="1"/>
  <c r="J296" i="1"/>
  <c r="J121" i="1"/>
  <c r="J241" i="1"/>
  <c r="J481" i="1"/>
  <c r="J126" i="1"/>
  <c r="J42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446" i="1"/>
  <c r="J91" i="1"/>
  <c r="J151" i="1"/>
  <c r="J211" i="1"/>
  <c r="J271" i="1"/>
  <c r="J331" i="1"/>
  <c r="J391" i="1"/>
  <c r="J96" i="1"/>
  <c r="J156" i="1"/>
  <c r="J216" i="1"/>
  <c r="J336" i="1"/>
  <c r="J396" i="1"/>
  <c r="J41" i="1"/>
  <c r="J161" i="1"/>
  <c r="J221" i="1"/>
  <c r="J281" i="1"/>
  <c r="J401" i="1"/>
  <c r="J461" i="1"/>
  <c r="J46" i="1"/>
  <c r="J166" i="1"/>
  <c r="J226" i="1"/>
  <c r="J286" i="1"/>
  <c r="J406" i="1"/>
  <c r="J466" i="1"/>
  <c r="J51" i="1"/>
  <c r="J171" i="1"/>
  <c r="J231" i="1"/>
  <c r="J351" i="1"/>
  <c r="J411" i="1"/>
  <c r="J471" i="1"/>
  <c r="J56" i="1"/>
  <c r="J176" i="1"/>
  <c r="J236" i="1"/>
  <c r="J356" i="1"/>
  <c r="J416" i="1"/>
  <c r="J476" i="1"/>
  <c r="J61" i="1"/>
  <c r="J181" i="1"/>
  <c r="J301" i="1"/>
  <c r="J361" i="1"/>
  <c r="J421" i="1"/>
  <c r="J66" i="1"/>
  <c r="J186" i="1"/>
  <c r="J246" i="1"/>
  <c r="J306" i="1"/>
  <c r="J366" i="1"/>
  <c r="J486" i="1"/>
  <c r="J36" i="1"/>
  <c r="J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16" i="1"/>
  <c r="H64" i="1"/>
  <c r="H88" i="1"/>
  <c r="H148" i="1"/>
  <c r="H232" i="1"/>
  <c r="H364" i="1"/>
  <c r="H197" i="1"/>
  <c r="H245" i="1"/>
  <c r="H269" i="1"/>
  <c r="H293" i="1"/>
  <c r="H317" i="1"/>
  <c r="H341" i="1"/>
  <c r="H365" i="1"/>
  <c r="H377" i="1"/>
  <c r="H401" i="1"/>
  <c r="H413" i="1"/>
  <c r="H437" i="1"/>
  <c r="H449" i="1"/>
  <c r="H461" i="1"/>
  <c r="H485" i="1"/>
  <c r="H497" i="1"/>
  <c r="H6" i="1"/>
  <c r="H30" i="1"/>
  <c r="H54" i="1"/>
  <c r="H78" i="1"/>
  <c r="H102" i="1"/>
  <c r="H126" i="1"/>
  <c r="H150" i="1"/>
  <c r="H174" i="1"/>
  <c r="H198" i="1"/>
  <c r="H222" i="1"/>
  <c r="H246" i="1"/>
  <c r="H270" i="1"/>
  <c r="H294" i="1"/>
  <c r="H318" i="1"/>
  <c r="H342" i="1"/>
  <c r="H366" i="1"/>
  <c r="H390" i="1"/>
  <c r="H414" i="1"/>
  <c r="H438" i="1"/>
  <c r="H462" i="1"/>
  <c r="H486" i="1"/>
  <c r="H7" i="1"/>
  <c r="H31" i="1"/>
  <c r="H55" i="1"/>
  <c r="H79" i="1"/>
  <c r="H103" i="1"/>
  <c r="H127" i="1"/>
  <c r="H151" i="1"/>
  <c r="H175" i="1"/>
  <c r="H199" i="1"/>
  <c r="H223" i="1"/>
  <c r="H247" i="1"/>
  <c r="H271" i="1"/>
  <c r="H295" i="1"/>
  <c r="H319" i="1"/>
  <c r="H343" i="1"/>
  <c r="H367" i="1"/>
  <c r="H379" i="1"/>
  <c r="H403" i="1"/>
  <c r="H427" i="1"/>
  <c r="H451" i="1"/>
  <c r="H475" i="1"/>
  <c r="H499" i="1"/>
  <c r="H8" i="1"/>
  <c r="H32" i="1"/>
  <c r="H56" i="1"/>
  <c r="H80" i="1"/>
  <c r="H104" i="1"/>
  <c r="H128" i="1"/>
  <c r="H152" i="1"/>
  <c r="H176" i="1"/>
  <c r="H200" i="1"/>
  <c r="H224" i="1"/>
  <c r="H248" i="1"/>
  <c r="H272" i="1"/>
  <c r="H296" i="1"/>
  <c r="H320" i="1"/>
  <c r="H344" i="1"/>
  <c r="H368" i="1"/>
  <c r="H392" i="1"/>
  <c r="H416" i="1"/>
  <c r="H440" i="1"/>
  <c r="H464" i="1"/>
  <c r="H488" i="1"/>
  <c r="H4" i="1"/>
  <c r="H28" i="1"/>
  <c r="H40" i="1"/>
  <c r="H52" i="1"/>
  <c r="H76" i="1"/>
  <c r="H100" i="1"/>
  <c r="H112" i="1"/>
  <c r="H124" i="1"/>
  <c r="H136" i="1"/>
  <c r="H160" i="1"/>
  <c r="H172" i="1"/>
  <c r="H184" i="1"/>
  <c r="H196" i="1"/>
  <c r="H208" i="1"/>
  <c r="H220" i="1"/>
  <c r="H244" i="1"/>
  <c r="H256" i="1"/>
  <c r="H268" i="1"/>
  <c r="H280" i="1"/>
  <c r="H292" i="1"/>
  <c r="H304" i="1"/>
  <c r="H316" i="1"/>
  <c r="H328" i="1"/>
  <c r="H340" i="1"/>
  <c r="H352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209" i="1"/>
  <c r="H221" i="1"/>
  <c r="H233" i="1"/>
  <c r="H257" i="1"/>
  <c r="H281" i="1"/>
  <c r="H305" i="1"/>
  <c r="H329" i="1"/>
  <c r="H353" i="1"/>
  <c r="H389" i="1"/>
  <c r="H425" i="1"/>
  <c r="H473" i="1"/>
  <c r="H18" i="1"/>
  <c r="H42" i="1"/>
  <c r="H66" i="1"/>
  <c r="H90" i="1"/>
  <c r="H114" i="1"/>
  <c r="H138" i="1"/>
  <c r="H162" i="1"/>
  <c r="H186" i="1"/>
  <c r="H210" i="1"/>
  <c r="H234" i="1"/>
  <c r="H258" i="1"/>
  <c r="H282" i="1"/>
  <c r="H306" i="1"/>
  <c r="H330" i="1"/>
  <c r="H354" i="1"/>
  <c r="H378" i="1"/>
  <c r="H402" i="1"/>
  <c r="H426" i="1"/>
  <c r="H450" i="1"/>
  <c r="H474" i="1"/>
  <c r="H498" i="1"/>
  <c r="H19" i="1"/>
  <c r="H43" i="1"/>
  <c r="H67" i="1"/>
  <c r="H91" i="1"/>
  <c r="H115" i="1"/>
  <c r="H139" i="1"/>
  <c r="H163" i="1"/>
  <c r="H187" i="1"/>
  <c r="H211" i="1"/>
  <c r="H235" i="1"/>
  <c r="H259" i="1"/>
  <c r="H283" i="1"/>
  <c r="H307" i="1"/>
  <c r="H331" i="1"/>
  <c r="H355" i="1"/>
  <c r="H391" i="1"/>
  <c r="H415" i="1"/>
  <c r="H439" i="1"/>
  <c r="H463" i="1"/>
  <c r="H487" i="1"/>
  <c r="H20" i="1"/>
  <c r="H44" i="1"/>
  <c r="H68" i="1"/>
  <c r="H92" i="1"/>
  <c r="H116" i="1"/>
  <c r="H140" i="1"/>
  <c r="H164" i="1"/>
  <c r="H188" i="1"/>
  <c r="H212" i="1"/>
  <c r="H236" i="1"/>
  <c r="H260" i="1"/>
  <c r="H284" i="1"/>
  <c r="H308" i="1"/>
  <c r="H332" i="1"/>
  <c r="H356" i="1"/>
  <c r="H380" i="1"/>
  <c r="H404" i="1"/>
  <c r="H428" i="1"/>
  <c r="H452" i="1"/>
  <c r="H476" i="1"/>
  <c r="H500" i="1"/>
  <c r="H9" i="1"/>
  <c r="H33" i="1"/>
  <c r="H57" i="1"/>
  <c r="H81" i="1"/>
  <c r="H105" i="1"/>
  <c r="H129" i="1"/>
  <c r="H153" i="1"/>
  <c r="H177" i="1"/>
  <c r="H201" i="1"/>
  <c r="H225" i="1"/>
  <c r="H249" i="1"/>
  <c r="H273" i="1"/>
  <c r="H297" i="1"/>
  <c r="H321" i="1"/>
  <c r="H345" i="1"/>
  <c r="H369" i="1"/>
  <c r="H393" i="1"/>
  <c r="H417" i="1"/>
  <c r="H441" i="1"/>
  <c r="H465" i="1"/>
  <c r="H489" i="1"/>
  <c r="H10" i="1"/>
  <c r="H34" i="1"/>
  <c r="H58" i="1"/>
  <c r="H82" i="1"/>
  <c r="H106" i="1"/>
  <c r="H130" i="1"/>
  <c r="H154" i="1"/>
  <c r="H178" i="1"/>
  <c r="H202" i="1"/>
  <c r="H226" i="1"/>
  <c r="H250" i="1"/>
  <c r="H274" i="1"/>
  <c r="H298" i="1"/>
  <c r="H322" i="1"/>
  <c r="H346" i="1"/>
  <c r="H370" i="1"/>
  <c r="H394" i="1"/>
  <c r="H418" i="1"/>
  <c r="H442" i="1"/>
  <c r="H466" i="1"/>
  <c r="H490" i="1"/>
  <c r="H11" i="1"/>
  <c r="H35" i="1"/>
  <c r="H59" i="1"/>
  <c r="H83" i="1"/>
  <c r="H107" i="1"/>
  <c r="H131" i="1"/>
  <c r="H155" i="1"/>
  <c r="H179" i="1"/>
  <c r="H203" i="1"/>
  <c r="H227" i="1"/>
  <c r="H251" i="1"/>
  <c r="H275" i="1"/>
  <c r="H299" i="1"/>
  <c r="H323" i="1"/>
  <c r="H347" i="1"/>
  <c r="H371" i="1"/>
  <c r="H395" i="1"/>
  <c r="H419" i="1"/>
  <c r="H443" i="1"/>
  <c r="H467" i="1"/>
  <c r="H491" i="1"/>
  <c r="H12" i="1"/>
  <c r="H36" i="1"/>
  <c r="H60" i="1"/>
  <c r="H84" i="1"/>
  <c r="H108" i="1"/>
  <c r="H132" i="1"/>
  <c r="H156" i="1"/>
  <c r="H180" i="1"/>
  <c r="H204" i="1"/>
  <c r="H228" i="1"/>
  <c r="H252" i="1"/>
  <c r="H276" i="1"/>
  <c r="H300" i="1"/>
  <c r="H324" i="1"/>
  <c r="H348" i="1"/>
  <c r="H372" i="1"/>
  <c r="H396" i="1"/>
  <c r="H420" i="1"/>
  <c r="H444" i="1"/>
  <c r="H468" i="1"/>
  <c r="H492" i="1"/>
  <c r="H37" i="1"/>
  <c r="H61" i="1"/>
  <c r="H85" i="1"/>
  <c r="H109" i="1"/>
  <c r="H133" i="1"/>
  <c r="H157" i="1"/>
  <c r="H181" i="1"/>
  <c r="H229" i="1"/>
  <c r="H253" i="1"/>
  <c r="H277" i="1"/>
  <c r="H301" i="1"/>
  <c r="H325" i="1"/>
  <c r="H349" i="1"/>
  <c r="H373" i="1"/>
  <c r="H397" i="1"/>
  <c r="H445" i="1"/>
  <c r="H469" i="1"/>
  <c r="H493" i="1"/>
  <c r="H14" i="1"/>
  <c r="H62" i="1"/>
  <c r="H86" i="1"/>
  <c r="H110" i="1"/>
  <c r="H134" i="1"/>
  <c r="H158" i="1"/>
  <c r="H182" i="1"/>
  <c r="H206" i="1"/>
  <c r="H230" i="1"/>
  <c r="H278" i="1"/>
  <c r="H302" i="1"/>
  <c r="H326" i="1"/>
  <c r="H350" i="1"/>
  <c r="H398" i="1"/>
  <c r="H446" i="1"/>
  <c r="H470" i="1"/>
  <c r="H494" i="1"/>
  <c r="H21" i="1"/>
  <c r="H69" i="1"/>
  <c r="H93" i="1"/>
  <c r="H117" i="1"/>
  <c r="H165" i="1"/>
  <c r="H213" i="1"/>
  <c r="H261" i="1"/>
  <c r="H309" i="1"/>
  <c r="H357" i="1"/>
  <c r="H405" i="1"/>
  <c r="H453" i="1"/>
  <c r="H501" i="1"/>
  <c r="H46" i="1"/>
  <c r="H94" i="1"/>
  <c r="H142" i="1"/>
  <c r="H190" i="1"/>
  <c r="H238" i="1"/>
  <c r="H286" i="1"/>
  <c r="H334" i="1"/>
  <c r="H382" i="1"/>
  <c r="H430" i="1"/>
  <c r="H454" i="1"/>
  <c r="H23" i="1"/>
  <c r="H71" i="1"/>
  <c r="H119" i="1"/>
  <c r="H167" i="1"/>
  <c r="H215" i="1"/>
  <c r="H263" i="1"/>
  <c r="H311" i="1"/>
  <c r="H359" i="1"/>
  <c r="H407" i="1"/>
  <c r="H455" i="1"/>
  <c r="H24" i="1"/>
  <c r="H72" i="1"/>
  <c r="H120" i="1"/>
  <c r="H168" i="1"/>
  <c r="H216" i="1"/>
  <c r="H264" i="1"/>
  <c r="H288" i="1"/>
  <c r="H336" i="1"/>
  <c r="H384" i="1"/>
  <c r="H432" i="1"/>
  <c r="H480" i="1"/>
  <c r="H25" i="1"/>
  <c r="H97" i="1"/>
  <c r="H145" i="1"/>
  <c r="H193" i="1"/>
  <c r="H241" i="1"/>
  <c r="H289" i="1"/>
  <c r="H337" i="1"/>
  <c r="H385" i="1"/>
  <c r="H433" i="1"/>
  <c r="H481" i="1"/>
  <c r="H26" i="1"/>
  <c r="H98" i="1"/>
  <c r="H146" i="1"/>
  <c r="H194" i="1"/>
  <c r="H242" i="1"/>
  <c r="H290" i="1"/>
  <c r="H338" i="1"/>
  <c r="H386" i="1"/>
  <c r="H410" i="1"/>
  <c r="H458" i="1"/>
  <c r="H13" i="1"/>
  <c r="H205" i="1"/>
  <c r="H421" i="1"/>
  <c r="H38" i="1"/>
  <c r="H254" i="1"/>
  <c r="H374" i="1"/>
  <c r="H422" i="1"/>
  <c r="H45" i="1"/>
  <c r="H141" i="1"/>
  <c r="H189" i="1"/>
  <c r="H237" i="1"/>
  <c r="H285" i="1"/>
  <c r="H333" i="1"/>
  <c r="H381" i="1"/>
  <c r="H429" i="1"/>
  <c r="H477" i="1"/>
  <c r="H22" i="1"/>
  <c r="H70" i="1"/>
  <c r="H118" i="1"/>
  <c r="H166" i="1"/>
  <c r="H214" i="1"/>
  <c r="H262" i="1"/>
  <c r="H310" i="1"/>
  <c r="H358" i="1"/>
  <c r="H406" i="1"/>
  <c r="H478" i="1"/>
  <c r="H47" i="1"/>
  <c r="H95" i="1"/>
  <c r="H143" i="1"/>
  <c r="H191" i="1"/>
  <c r="H239" i="1"/>
  <c r="H287" i="1"/>
  <c r="H335" i="1"/>
  <c r="H383" i="1"/>
  <c r="H431" i="1"/>
  <c r="H479" i="1"/>
  <c r="H48" i="1"/>
  <c r="H96" i="1"/>
  <c r="H144" i="1"/>
  <c r="H192" i="1"/>
  <c r="H240" i="1"/>
  <c r="H312" i="1"/>
  <c r="H360" i="1"/>
  <c r="H408" i="1"/>
  <c r="H456" i="1"/>
  <c r="H49" i="1"/>
  <c r="H73" i="1"/>
  <c r="H121" i="1"/>
  <c r="H169" i="1"/>
  <c r="H217" i="1"/>
  <c r="H265" i="1"/>
  <c r="H313" i="1"/>
  <c r="H361" i="1"/>
  <c r="H409" i="1"/>
  <c r="H457" i="1"/>
  <c r="H50" i="1"/>
  <c r="H74" i="1"/>
  <c r="H122" i="1"/>
  <c r="H170" i="1"/>
  <c r="H218" i="1"/>
  <c r="H266" i="1"/>
  <c r="H314" i="1"/>
  <c r="H362" i="1"/>
  <c r="H434" i="1"/>
  <c r="H482" i="1"/>
  <c r="H2" i="1"/>
  <c r="I458" i="1" l="1"/>
  <c r="I378" i="1"/>
  <c r="I285" i="1"/>
  <c r="I202" i="1"/>
  <c r="I106" i="1"/>
  <c r="I429" i="1"/>
  <c r="I273" i="1"/>
  <c r="I105" i="1"/>
  <c r="I486" i="1"/>
  <c r="I402" i="1"/>
  <c r="I309" i="1"/>
  <c r="I189" i="1"/>
  <c r="I102" i="1"/>
  <c r="I396" i="1"/>
  <c r="I266" i="1"/>
  <c r="I98" i="1"/>
  <c r="I477" i="1"/>
  <c r="I395" i="1"/>
  <c r="I306" i="1"/>
  <c r="I226" i="1"/>
  <c r="I42" i="1"/>
  <c r="I476" i="1"/>
  <c r="I450" i="1"/>
  <c r="I422" i="1"/>
  <c r="I394" i="1"/>
  <c r="I361" i="1"/>
  <c r="I337" i="1"/>
  <c r="I302" i="1"/>
  <c r="I264" i="1"/>
  <c r="I225" i="1"/>
  <c r="I181" i="1"/>
  <c r="I142" i="1"/>
  <c r="I84" i="1"/>
  <c r="I38" i="1"/>
  <c r="I474" i="1"/>
  <c r="I444" i="1"/>
  <c r="I421" i="1"/>
  <c r="I393" i="1"/>
  <c r="I360" i="1"/>
  <c r="I334" i="1"/>
  <c r="I301" i="1"/>
  <c r="I263" i="1"/>
  <c r="I222" i="1"/>
  <c r="I180" i="1"/>
  <c r="I129" i="1"/>
  <c r="I83" i="1"/>
  <c r="I37" i="1"/>
  <c r="I473" i="1"/>
  <c r="I443" i="1"/>
  <c r="I418" i="1"/>
  <c r="I392" i="1"/>
  <c r="I359" i="1"/>
  <c r="I326" i="1"/>
  <c r="I290" i="1"/>
  <c r="I251" i="1"/>
  <c r="I210" i="1"/>
  <c r="I168" i="1"/>
  <c r="I126" i="1"/>
  <c r="I82" i="1"/>
  <c r="I24" i="1"/>
  <c r="I489" i="1"/>
  <c r="I407" i="1"/>
  <c r="I321" i="1"/>
  <c r="I60" i="1"/>
  <c r="I488" i="1"/>
  <c r="I457" i="1"/>
  <c r="I406" i="1"/>
  <c r="I374" i="1"/>
  <c r="I310" i="1"/>
  <c r="I229" i="1"/>
  <c r="I190" i="1"/>
  <c r="I59" i="1"/>
  <c r="I456" i="1"/>
  <c r="I373" i="1"/>
  <c r="I270" i="1"/>
  <c r="I46" i="1"/>
  <c r="I481" i="1"/>
  <c r="I455" i="1"/>
  <c r="I372" i="1"/>
  <c r="I342" i="1"/>
  <c r="I227" i="1"/>
  <c r="I186" i="1"/>
  <c r="I45" i="1"/>
  <c r="I425" i="1"/>
  <c r="I369" i="1"/>
  <c r="I265" i="1"/>
  <c r="I182" i="1"/>
  <c r="I85" i="1"/>
  <c r="I498" i="1"/>
  <c r="I442" i="1"/>
  <c r="I413" i="1"/>
  <c r="I358" i="1"/>
  <c r="I289" i="1"/>
  <c r="I206" i="1"/>
  <c r="I122" i="1"/>
  <c r="I23" i="1"/>
  <c r="I492" i="1"/>
  <c r="I441" i="1"/>
  <c r="I385" i="1"/>
  <c r="I357" i="1"/>
  <c r="I288" i="1"/>
  <c r="I205" i="1"/>
  <c r="I121" i="1"/>
  <c r="I22" i="1"/>
  <c r="I491" i="1"/>
  <c r="I466" i="1"/>
  <c r="I440" i="1"/>
  <c r="I409" i="1"/>
  <c r="I381" i="1"/>
  <c r="I356" i="1"/>
  <c r="I323" i="1"/>
  <c r="I287" i="1"/>
  <c r="I246" i="1"/>
  <c r="I204" i="1"/>
  <c r="I165" i="1"/>
  <c r="I120" i="1"/>
  <c r="I62" i="1"/>
  <c r="I21" i="1"/>
  <c r="I433" i="1"/>
  <c r="I346" i="1"/>
  <c r="I241" i="1"/>
  <c r="I158" i="1"/>
  <c r="I345" i="1"/>
  <c r="I146" i="1"/>
  <c r="I428" i="1"/>
  <c r="I344" i="1"/>
  <c r="I228" i="1"/>
  <c r="I145" i="1"/>
  <c r="I426" i="1"/>
  <c r="I308" i="1"/>
  <c r="I144" i="1"/>
  <c r="I454" i="1"/>
  <c r="I338" i="1"/>
  <c r="I143" i="1"/>
  <c r="I470" i="1"/>
  <c r="I390" i="1"/>
  <c r="I325" i="1"/>
  <c r="I250" i="1"/>
  <c r="I167" i="1"/>
  <c r="I81" i="1"/>
  <c r="I469" i="1"/>
  <c r="I410" i="1"/>
  <c r="I324" i="1"/>
  <c r="I249" i="1"/>
  <c r="I166" i="1"/>
  <c r="I66" i="1"/>
  <c r="I490" i="1"/>
  <c r="I461" i="1"/>
  <c r="I438" i="1"/>
  <c r="I408" i="1"/>
  <c r="I380" i="1"/>
  <c r="I350" i="1"/>
  <c r="I322" i="1"/>
  <c r="I286" i="1"/>
  <c r="I242" i="1"/>
  <c r="I203" i="1"/>
  <c r="I162" i="1"/>
  <c r="I107" i="1"/>
  <c r="I61" i="1"/>
  <c r="I18" i="1"/>
  <c r="I141" i="1"/>
  <c r="I119" i="1"/>
  <c r="I97" i="1"/>
  <c r="I78" i="1"/>
  <c r="I58" i="1"/>
  <c r="I36" i="1"/>
  <c r="I14" i="1"/>
  <c r="I501" i="1"/>
  <c r="I485" i="1"/>
  <c r="I468" i="1"/>
  <c r="I453" i="1"/>
  <c r="I437" i="1"/>
  <c r="I420" i="1"/>
  <c r="I405" i="1"/>
  <c r="I389" i="1"/>
  <c r="I371" i="1"/>
  <c r="I354" i="1"/>
  <c r="I336" i="1"/>
  <c r="I320" i="1"/>
  <c r="I300" i="1"/>
  <c r="I282" i="1"/>
  <c r="I262" i="1"/>
  <c r="I240" i="1"/>
  <c r="I218" i="1"/>
  <c r="I201" i="1"/>
  <c r="I179" i="1"/>
  <c r="I157" i="1"/>
  <c r="I138" i="1"/>
  <c r="I118" i="1"/>
  <c r="I96" i="1"/>
  <c r="I74" i="1"/>
  <c r="I57" i="1"/>
  <c r="I35" i="1"/>
  <c r="I13" i="1"/>
  <c r="I500" i="1"/>
  <c r="I482" i="1"/>
  <c r="I467" i="1"/>
  <c r="I452" i="1"/>
  <c r="I434" i="1"/>
  <c r="I419" i="1"/>
  <c r="I404" i="1"/>
  <c r="I386" i="1"/>
  <c r="I370" i="1"/>
  <c r="I353" i="1"/>
  <c r="I335" i="1"/>
  <c r="I318" i="1"/>
  <c r="I299" i="1"/>
  <c r="I278" i="1"/>
  <c r="I261" i="1"/>
  <c r="I239" i="1"/>
  <c r="I217" i="1"/>
  <c r="I198" i="1"/>
  <c r="I178" i="1"/>
  <c r="I156" i="1"/>
  <c r="I134" i="1"/>
  <c r="I117" i="1"/>
  <c r="I95" i="1"/>
  <c r="I73" i="1"/>
  <c r="I54" i="1"/>
  <c r="I34" i="1"/>
  <c r="I12" i="1"/>
  <c r="I314" i="1"/>
  <c r="I277" i="1"/>
  <c r="I238" i="1"/>
  <c r="I194" i="1"/>
  <c r="I177" i="1"/>
  <c r="I133" i="1"/>
  <c r="I94" i="1"/>
  <c r="I50" i="1"/>
  <c r="I33" i="1"/>
  <c r="I497" i="1"/>
  <c r="I480" i="1"/>
  <c r="I449" i="1"/>
  <c r="I417" i="1"/>
  <c r="I384" i="1"/>
  <c r="I368" i="1"/>
  <c r="I333" i="1"/>
  <c r="I297" i="1"/>
  <c r="I276" i="1"/>
  <c r="I237" i="1"/>
  <c r="I193" i="1"/>
  <c r="I154" i="1"/>
  <c r="I132" i="1"/>
  <c r="I93" i="1"/>
  <c r="I49" i="1"/>
  <c r="I10" i="1"/>
  <c r="I494" i="1"/>
  <c r="I479" i="1"/>
  <c r="I464" i="1"/>
  <c r="I446" i="1"/>
  <c r="I431" i="1"/>
  <c r="I416" i="1"/>
  <c r="I398" i="1"/>
  <c r="I383" i="1"/>
  <c r="I366" i="1"/>
  <c r="I348" i="1"/>
  <c r="I332" i="1"/>
  <c r="I312" i="1"/>
  <c r="I296" i="1"/>
  <c r="I275" i="1"/>
  <c r="I253" i="1"/>
  <c r="I234" i="1"/>
  <c r="I214" i="1"/>
  <c r="I192" i="1"/>
  <c r="I170" i="1"/>
  <c r="I153" i="1"/>
  <c r="I131" i="1"/>
  <c r="I109" i="1"/>
  <c r="I90" i="1"/>
  <c r="I70" i="1"/>
  <c r="I48" i="1"/>
  <c r="I26" i="1"/>
  <c r="I9" i="1"/>
  <c r="I298" i="1"/>
  <c r="I258" i="1"/>
  <c r="I216" i="1"/>
  <c r="I155" i="1"/>
  <c r="I114" i="1"/>
  <c r="I72" i="1"/>
  <c r="I11" i="1"/>
  <c r="I465" i="1"/>
  <c r="I432" i="1"/>
  <c r="I401" i="1"/>
  <c r="I349" i="1"/>
  <c r="I313" i="1"/>
  <c r="I254" i="1"/>
  <c r="I215" i="1"/>
  <c r="I174" i="1"/>
  <c r="I110" i="1"/>
  <c r="I71" i="1"/>
  <c r="I30" i="1"/>
  <c r="I493" i="1"/>
  <c r="I478" i="1"/>
  <c r="I462" i="1"/>
  <c r="I445" i="1"/>
  <c r="I430" i="1"/>
  <c r="I414" i="1"/>
  <c r="I397" i="1"/>
  <c r="I382" i="1"/>
  <c r="I362" i="1"/>
  <c r="I347" i="1"/>
  <c r="I330" i="1"/>
  <c r="I311" i="1"/>
  <c r="I294" i="1"/>
  <c r="I274" i="1"/>
  <c r="I252" i="1"/>
  <c r="I230" i="1"/>
  <c r="I213" i="1"/>
  <c r="I191" i="1"/>
  <c r="I169" i="1"/>
  <c r="I150" i="1"/>
  <c r="I130" i="1"/>
  <c r="I108" i="1"/>
  <c r="I86" i="1"/>
  <c r="I69" i="1"/>
  <c r="I47" i="1"/>
  <c r="I25" i="1"/>
  <c r="I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377" i="1"/>
  <c r="I365" i="1"/>
  <c r="I341" i="1"/>
  <c r="I329" i="1"/>
  <c r="I317" i="1"/>
  <c r="I293" i="1"/>
  <c r="I281" i="1"/>
  <c r="I257" i="1"/>
  <c r="I233" i="1"/>
  <c r="I209" i="1"/>
  <c r="I197" i="1"/>
  <c r="I173" i="1"/>
  <c r="I149" i="1"/>
  <c r="I125" i="1"/>
  <c r="I113" i="1"/>
  <c r="I89" i="1"/>
  <c r="I77" i="1"/>
  <c r="I53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305" i="1"/>
  <c r="I269" i="1"/>
  <c r="I245" i="1"/>
  <c r="I221" i="1"/>
  <c r="I185" i="1"/>
  <c r="I161" i="1"/>
  <c r="I137" i="1"/>
  <c r="I101" i="1"/>
  <c r="I65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M501" i="1" l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J504" i="1" l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<sst xmlns="http://schemas.openxmlformats.org/spreadsheetml/2006/main" count="1045" uniqueCount="875">
  <si>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</si>
  <si>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</si>
  <si>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</si>
  <si>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</si>
  <si>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</si>
  <si>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</si>
  <si>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</si>
  <si>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</si>
  <si>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</si>
  <si>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</si>
  <si>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</si>
  <si>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</si>
  <si>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</si>
  <si>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</si>
  <si>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</si>
  <si>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</si>
  <si>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</si>
  <si>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</si>
  <si>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</si>
  <si>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</si>
  <si>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</si>
  <si>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</si>
  <si>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</si>
  <si>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</si>
  <si>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</si>
  <si>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</si>
  <si>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</si>
  <si>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</si>
  <si>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</si>
  <si>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</si>
  <si>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</si>
  <si>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</si>
  <si>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</si>
  <si>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</si>
  <si>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</si>
  <si>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</si>
  <si>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</si>
  <si>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</si>
  <si>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</si>
  <si>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</si>
  <si>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</si>
  <si>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</si>
  <si>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</si>
  <si>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</si>
  <si>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</si>
  <si>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</si>
  <si>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</si>
  <si>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</si>
  <si>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</si>
  <si>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</si>
  <si>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</si>
  <si>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</si>
  <si>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</si>
  <si>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</si>
  <si>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</si>
  <si>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</si>
  <si>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</si>
  <si>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</si>
  <si>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</si>
  <si>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</si>
  <si>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</si>
  <si>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</si>
  <si>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</si>
  <si>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</si>
  <si>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</si>
  <si>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</si>
  <si>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</si>
  <si>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</si>
  <si>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</si>
  <si>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</si>
  <si>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</si>
  <si>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</si>
  <si>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</si>
  <si>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</si>
  <si>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</si>
  <si>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</si>
  <si>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</si>
  <si>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</si>
  <si>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</si>
  <si>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</si>
  <si>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</si>
  <si>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</si>
  <si>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</si>
  <si>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</si>
  <si>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</si>
  <si>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</si>
  <si>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</si>
  <si>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</si>
  <si>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</si>
  <si>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</si>
  <si>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</si>
  <si>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</si>
  <si>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</si>
  <si>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</si>
  <si>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</si>
  <si>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</si>
  <si>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</si>
  <si>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</si>
  <si>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</si>
  <si>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</si>
  <si>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</si>
  <si>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</si>
  <si>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</si>
  <si>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</si>
  <si>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</si>
  <si>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</si>
  <si>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</si>
  <si>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</si>
  <si>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</si>
  <si>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</si>
  <si>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</si>
  <si>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</si>
  <si>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</si>
  <si>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</si>
  <si>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</si>
  <si>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</si>
  <si>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</si>
  <si>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</si>
  <si>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</si>
  <si>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</si>
  <si>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</si>
  <si>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</si>
  <si>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</si>
  <si>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</si>
  <si>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</si>
  <si>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</si>
  <si>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</si>
  <si>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</si>
  <si>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</si>
  <si>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</si>
  <si>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</si>
  <si>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</si>
  <si>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</si>
  <si>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</si>
  <si>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</si>
  <si>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</si>
  <si>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</si>
  <si>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</si>
  <si>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</si>
  <si>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</si>
  <si>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</si>
  <si>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</si>
  <si>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</si>
  <si>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</si>
  <si>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</si>
  <si>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</si>
  <si>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</si>
  <si>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</si>
  <si>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</si>
  <si>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</si>
  <si>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</si>
  <si>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</si>
  <si>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</si>
  <si>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</si>
  <si>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</si>
  <si>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</si>
  <si>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</si>
  <si>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</si>
  <si>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</si>
  <si>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</si>
  <si>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</si>
  <si>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</si>
  <si>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</si>
  <si>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</si>
  <si>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</si>
  <si>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</si>
  <si>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</si>
  <si>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</si>
  <si>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</si>
  <si>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</si>
  <si>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</si>
  <si>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</si>
  <si>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</si>
  <si>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</si>
  <si>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</si>
  <si>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</si>
  <si>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</si>
  <si>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</si>
  <si>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</si>
  <si>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</si>
  <si>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</si>
  <si>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</si>
  <si>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</si>
  <si>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</si>
  <si>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</si>
  <si>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</si>
  <si>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</si>
  <si>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</si>
  <si>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</si>
  <si>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</si>
  <si>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</si>
  <si>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</si>
  <si>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</si>
  <si>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</si>
  <si>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</si>
  <si>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</si>
  <si>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</si>
  <si>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</si>
  <si>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</si>
  <si>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</si>
  <si>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</si>
  <si>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</si>
  <si>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</si>
  <si>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</si>
  <si>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</si>
  <si>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</si>
  <si>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</si>
  <si>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</si>
  <si>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</si>
  <si>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</si>
  <si>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</si>
  <si>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</si>
  <si>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</si>
  <si>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</si>
  <si>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</si>
  <si>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</si>
  <si>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</si>
  <si>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</si>
  <si>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</si>
  <si>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</si>
  <si>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</si>
  <si>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</si>
  <si>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</si>
  <si>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</si>
  <si>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</si>
  <si>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</si>
  <si>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</si>
  <si>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</si>
  <si>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</si>
  <si>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</si>
  <si>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</si>
  <si>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</si>
  <si>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</si>
  <si>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</si>
  <si>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</si>
  <si>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</si>
  <si>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</si>
  <si>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</si>
  <si>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</si>
  <si>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</si>
  <si>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</si>
  <si>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</si>
  <si>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</si>
  <si>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</si>
  <si>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</si>
  <si>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</si>
  <si>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</si>
  <si>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</si>
  <si>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</si>
  <si>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</si>
  <si>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</si>
  <si>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</si>
  <si>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</si>
  <si>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</si>
  <si>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</si>
  <si>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</si>
  <si>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</si>
  <si>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</si>
  <si>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</si>
  <si>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</si>
  <si>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</si>
  <si>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</si>
  <si>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</si>
  <si>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</si>
  <si>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</si>
  <si>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</si>
  <si>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</si>
  <si>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</si>
  <si>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</si>
  <si>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</si>
  <si>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</si>
  <si>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</si>
  <si>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</si>
  <si>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</si>
  <si>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</si>
  <si>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</si>
  <si>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</si>
  <si>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</si>
  <si>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</si>
  <si>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</si>
  <si>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</si>
  <si>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</si>
  <si>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</si>
  <si>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</si>
  <si>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</si>
  <si>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</si>
  <si>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</si>
  <si>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</si>
  <si>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</si>
  <si>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</si>
  <si>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</si>
  <si>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</si>
  <si>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</si>
  <si>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</si>
  <si>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</si>
  <si>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</si>
  <si>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</si>
  <si>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</si>
  <si>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</si>
  <si>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</si>
  <si>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</si>
  <si>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</si>
  <si>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</si>
  <si>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</si>
  <si>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</si>
  <si>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</si>
  <si>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</si>
  <si>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</si>
  <si>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</si>
  <si>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</si>
  <si>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</si>
  <si>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</si>
  <si>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</si>
  <si>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</si>
  <si>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</si>
  <si>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</si>
  <si>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</si>
  <si>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</si>
  <si>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</si>
  <si>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</si>
  <si>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</si>
  <si>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</si>
  <si>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</si>
  <si>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</si>
  <si>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</si>
  <si>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</si>
  <si>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</si>
  <si>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</si>
  <si>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</si>
  <si>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</si>
  <si>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</si>
  <si>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</si>
  <si>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</si>
  <si>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</si>
  <si>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</si>
  <si>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</si>
  <si>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</si>
  <si>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</si>
  <si>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</si>
  <si>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</si>
  <si>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</si>
  <si>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</si>
  <si>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</si>
  <si>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</si>
  <si>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</si>
  <si>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</si>
  <si>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</si>
  <si>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</si>
  <si>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</si>
  <si>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</si>
  <si>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</si>
  <si>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</si>
  <si>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</si>
  <si>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</si>
  <si>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</si>
  <si>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</si>
  <si>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</si>
  <si>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</si>
  <si>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</si>
  <si>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</si>
  <si>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</si>
  <si>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</si>
  <si>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</si>
  <si>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</si>
  <si>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</si>
  <si>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</si>
  <si>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</si>
  <si>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</si>
  <si>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</si>
  <si>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</si>
  <si>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</si>
  <si>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</si>
  <si>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</si>
  <si>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</si>
  <si>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</si>
  <si>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</si>
  <si>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</si>
  <si>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</si>
  <si>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</si>
  <si>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</si>
  <si>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</si>
  <si>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</si>
  <si>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</si>
  <si>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</si>
  <si>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</si>
  <si>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</si>
  <si>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</si>
  <si>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</si>
  <si>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</si>
  <si>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</si>
  <si>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</si>
  <si>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</si>
  <si>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</si>
  <si>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</si>
  <si>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</si>
  <si>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</si>
  <si>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</si>
  <si>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</si>
  <si>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</si>
  <si>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</si>
  <si>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</si>
  <si>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</si>
  <si>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</si>
  <si>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</si>
  <si>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</si>
  <si>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</si>
  <si>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</si>
  <si>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</si>
  <si>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</si>
  <si>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</si>
  <si>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</si>
  <si>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</si>
  <si>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</si>
  <si>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</si>
  <si>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</si>
  <si>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</si>
  <si>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</si>
  <si>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</si>
  <si>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</si>
  <si>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</si>
  <si>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</si>
  <si>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</si>
  <si>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</si>
  <si>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</si>
  <si>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</si>
  <si>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</si>
  <si>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</si>
  <si>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</si>
  <si>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</si>
  <si>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</si>
  <si>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</si>
  <si>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</si>
  <si>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</si>
  <si>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</si>
  <si>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</si>
  <si>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</si>
  <si>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</si>
  <si>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</si>
  <si>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</si>
  <si>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</si>
  <si>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</si>
  <si>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</si>
  <si>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</si>
  <si>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</si>
  <si>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</si>
  <si>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</si>
  <si>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</si>
  <si>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</si>
  <si>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</si>
  <si>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</si>
  <si>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</si>
  <si>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</si>
  <si>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</si>
  <si>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</si>
  <si>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</si>
  <si>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</si>
  <si>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</si>
  <si>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</si>
  <si>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</si>
  <si>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</si>
  <si>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</si>
  <si>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</si>
  <si>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</si>
  <si>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</si>
  <si>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</si>
  <si>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</si>
  <si>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</si>
  <si>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</si>
  <si>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</si>
  <si>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</si>
  <si>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</si>
  <si>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식품위생법 시행령(대통령령) 제27조(식품위생교육의 대상)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</si>
  <si>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</si>
  <si>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</si>
  <si>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제23조(식품등의 재검사)</t>
  </si>
  <si>
    <t>한국식품안전관리인증원의 설립 및 운영에 관한 법률(법률) 제11조(보조금)</t>
  </si>
  <si>
    <t>가축전염병 예방법(법률) 제52조의4(가축전염병 안내교육)</t>
  </si>
  <si>
    <t>가축전염병 예방법 시행규칙(농림축산식품부령) 제47조의2(정보 제공 대상 등)</t>
  </si>
  <si>
    <t>농약관리법(법률) 제3조의2(영업의 신고)</t>
  </si>
  <si>
    <t>농약관리법 시행규칙(농림축산식품부령) 제16조(품목의 재등록신청 등)</t>
  </si>
  <si>
    <t>농약관리법 시행규칙(농림축산식품부령) 제14조(시험성적서 등의 제출 면제의 범위)</t>
  </si>
  <si>
    <t>농약관리법(법률) 제17조(수입농약 등의 등록 등)</t>
  </si>
  <si>
    <t>먹는물관리법(법률) 제21조(영업의 허가 등)</t>
  </si>
  <si>
    <t>먹는물관리법 시행령(대통령령) 제6조(품질관리인의 자격기준)</t>
  </si>
  <si>
    <t>사료관리법 시행규칙(농림축산식품부령) 제5조(제조업의 등록)</t>
  </si>
  <si>
    <t>사료관리법 시행규칙(농림축산식품부령) 제33조(보고감독 및 지도 등)</t>
  </si>
  <si>
    <t>식품ㆍ의약품분야 시험ㆍ검사 등에 관한 법률(법률) 제22조(보고와 출입 등)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</si>
  <si>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</si>
  <si>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</si>
  <si>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 시행규칙(총리령) 제16조의2(품질관리인의 직무 수행내역 등 기록보관)</t>
  </si>
  <si>
    <t>건강기능식품에 관한 법률 시행규칙(총리령) 제5조(영업의 신고 등)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</si>
  <si>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</si>
  <si>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</si>
  <si>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</si>
  <si>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</si>
  <si>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</si>
  <si>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</si>
  <si>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</si>
  <si>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</si>
  <si>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</si>
  <si>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</si>
  <si>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</si>
  <si>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</si>
  <si>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</si>
  <si>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</si>
  <si>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</si>
  <si>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</si>
  <si>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</si>
  <si>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</si>
  <si>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</si>
  <si>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</si>
  <si>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</si>
  <si>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</si>
  <si>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</si>
  <si>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</si>
  <si>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</si>
  <si>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</si>
  <si>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 시행령(대통령령) 제2조의5(가축전염병 발생 국가에서 입국 시 제출할 서류)</t>
  </si>
  <si>
    <t>먹는물관리법 시행규칙(환경부령) 제16조(수입신고 등)</t>
  </si>
  <si>
    <t>먹는물관리법(법률) 제24조(영업허가 등의 제한)</t>
  </si>
  <si>
    <t>먹는물관리법(법률) 제25조(영업의 승계)</t>
  </si>
  <si>
    <t>사료관리법(법률) 제13조의2(유전자변형농수축산물등의 표시)</t>
  </si>
  <si>
    <t>사료관리법 시행규칙(농림축산식품부령) 제18조(위해요소중점관리기준 적용 사료공장의 지정취소 등)</t>
  </si>
  <si>
    <t>사료관리법 시행규칙(농림축산식품부령) 제32조(사료의 재검사 등)</t>
  </si>
  <si>
    <t>축산물 위생관리법 시행규칙(총리령) 제5조의2(자가소비 또는 자가 조리판매하는 가축 또는 식육의 검사 등)</t>
  </si>
  <si>
    <t>축산물 위생관리법(법률) 제30조(위생교육)</t>
  </si>
  <si>
    <t>축산물 위생관리법 시행령(대통령령) 제20조의2(축산물위생감시원의 자격 및 직무범위 등)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</si>
  <si>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</si>
  <si>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</si>
  <si>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</si>
  <si>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</si>
  <si>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제17조(우수시험검사기관의 변경지정)</t>
  </si>
  <si>
    <t>식품ㆍ의약품분야 시험ㆍ검사 등에 관한 법률 시행규칙(총리령) 제7조(국외시험검사기관의 지정 등)</t>
  </si>
  <si>
    <t>건강기능식품에 관한 법률(법률) 제7조(품목제조신고 등)</t>
  </si>
  <si>
    <t>수입식품안전관리 특별법(법률) 제2조(정의)</t>
  </si>
  <si>
    <t>수입식품안전관리 특별법 시행령(대통령령) 제10조(과징금의 부과 및 납부 절차)</t>
  </si>
  <si>
    <t>수입식품안전관리 특별법(법률) 제35조(위반사실 공표)</t>
  </si>
  <si>
    <t>식품위생법 시행령(대통령령) 제9조(유전자변형식품등의 안전성 심사)</t>
  </si>
  <si>
    <t>식품위생법 시행령(대통령령) 제26조의2(등록하여야 하는 영업)</t>
  </si>
  <si>
    <t>식품위생법 시행령(대통령령) 제26조(신고를 하여야 하는 변경사항)</t>
  </si>
  <si>
    <t>식품위생법(법률) 제47조의2(식품접객업소의 위생등급 지정 등)</t>
  </si>
  <si>
    <t>농약관리법 시행규칙(농림축산식품부령) 제9조(폐업의 신고)</t>
  </si>
  <si>
    <t>먹는물관리법 시행규칙(환경부령) 제10조(영업의 허가 등)</t>
  </si>
  <si>
    <t>사료관리법(법률) 제16조(위해요소중점관리기준)</t>
  </si>
  <si>
    <t>사료관리법(법률) 제14조(제조수입판매 또는 사용 등의 금지)</t>
  </si>
  <si>
    <t>식품ㆍ의약품분야 시험ㆍ검사 등에 관한 법률 시행규칙(총리령) 제23조(교육기관의 변경지정 등)</t>
  </si>
  <si>
    <t>식품위생법 시행규칙(총리령) 제50조(영업에 종사하지 못하는 질병의 종류)</t>
  </si>
  <si>
    <t>가축전염병 예방법(법률) 제3조(국가와 지방자치단체의 책무)</t>
    <phoneticPr fontId="2" type="noConversion"/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</si>
  <si>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</si>
  <si>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</si>
  <si>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</si>
  <si>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</si>
  <si>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</si>
  <si>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</si>
  <si>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</si>
  <si>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</si>
  <si>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</si>
  <si>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</si>
  <si>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</si>
  <si>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</si>
  <si>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제48조의2(폐업 등의 지원)</t>
    <phoneticPr fontId="2" type="noConversion"/>
  </si>
  <si>
    <t>가축전염병 예방법(법률) 제17조(소독설비방역시설 구비 및 소독 실시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</si>
  <si>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</si>
  <si>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</si>
  <si>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제7조의5(방역관리 책임자)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</si>
  <si>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</si>
  <si>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제52조의4(가축전염병 안내교육)</t>
    <phoneticPr fontId="2" type="noConversion"/>
  </si>
  <si>
    <t>농약관리법(법률) 제3조(영업의 등록 등)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</si>
  <si>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</si>
  <si>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</si>
  <si>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</si>
  <si>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시행규칙(농림축산식품부령) 제5조(수출입식물방제업 및 항공방제업의 신고)</t>
    <phoneticPr fontId="2" type="noConversion"/>
  </si>
  <si>
    <t>농약관리법(법률) 제35조(벌칙)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</si>
  <si>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</si>
  <si>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</si>
  <si>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 시행규칙(농림축산식품부령) 제21조의2(수입농약 등의 허가신청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</si>
  <si>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</si>
  <si>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</si>
  <si>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</si>
  <si>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</si>
  <si>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</si>
  <si>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</si>
  <si>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농약관리법(법률) 제6조(폐업의 신고)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</si>
  <si>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</si>
  <si>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</si>
  <si>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</si>
  <si>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</si>
  <si>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</si>
  <si>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</si>
  <si>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제10조(영업의 허가 등)</t>
    <phoneticPr fontId="2" type="noConversion"/>
  </si>
  <si>
    <t>먹는물관리법 시행규칙(환경부령) 제16조(수입신고 등)</t>
    <phoneticPr fontId="2" type="noConversion"/>
  </si>
  <si>
    <t>먹는물관리법(법률) 제26조(수입신고 등)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</si>
  <si>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</si>
  <si>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</si>
  <si>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</si>
  <si>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</si>
  <si>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</si>
  <si>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먹는물관리법(법률) 제42조(출입검사수거 등)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</si>
  <si>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</si>
  <si>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</si>
  <si>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</si>
  <si>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</si>
  <si>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</si>
  <si>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</si>
  <si>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</si>
  <si>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</si>
  <si>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</si>
  <si>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</si>
  <si>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</si>
  <si>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</si>
  <si>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</si>
  <si>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</si>
  <si>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</si>
  <si>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</si>
  <si>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</si>
  <si>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</si>
  <si>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</si>
  <si>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</si>
  <si>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사료관리법(법률) 제8조(제조업의 등록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</si>
  <si>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</si>
  <si>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</si>
  <si>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</si>
  <si>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</si>
  <si>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</si>
  <si>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사료관리법(법률) 제4조(적용 배제)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</si>
  <si>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</si>
  <si>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 시행규칙(농림축산식품부령) 제34조(사료의 폐기 등의 조치)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</si>
  <si>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</si>
  <si>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</si>
  <si>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제19조(사료의 수입신고 등)</t>
    <phoneticPr fontId="2" type="noConversion"/>
  </si>
  <si>
    <t>사료관리법 시행규칙(농림축산식품부령) 제24조(출입검사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</si>
  <si>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</si>
  <si>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</si>
  <si>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</si>
  <si>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</si>
  <si>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</si>
  <si>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</si>
  <si>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</si>
  <si>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</si>
  <si>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</si>
  <si>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축산물 위생관리법(법률) 제7조(가축의 도살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</si>
  <si>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</si>
  <si>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</si>
  <si>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</si>
  <si>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</si>
  <si>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</si>
  <si>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</si>
  <si>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</si>
  <si>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</si>
  <si>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</si>
  <si>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</si>
  <si>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</si>
  <si>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</si>
  <si>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</si>
  <si>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</si>
  <si>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</si>
  <si>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</si>
  <si>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</si>
  <si>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제9조의2(연구위원)</t>
    <phoneticPr fontId="2" type="noConversion"/>
  </si>
  <si>
    <t>축산물 위생관리법(법률) 제10조(부정행위의 금지)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</si>
  <si>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</si>
  <si>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</si>
  <si>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</si>
  <si>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</si>
  <si>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</si>
  <si>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</si>
  <si>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</si>
  <si>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</si>
  <si>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</si>
  <si>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</si>
  <si>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</si>
  <si>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</si>
  <si>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</si>
  <si>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</si>
  <si>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</si>
  <si>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</si>
  <si>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</si>
  <si>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</si>
  <si>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</si>
  <si>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</si>
  <si>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</si>
  <si>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</si>
  <si>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</si>
  <si>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</si>
  <si>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</si>
  <si>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</si>
  <si>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</si>
  <si>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</si>
  <si>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</si>
  <si>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</si>
  <si>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</si>
  <si>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</si>
  <si>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</si>
  <si>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 시행규칙(총리령) 제15조(품질관리인의 수)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</si>
  <si>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</si>
  <si>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</si>
  <si>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제14조(기준 및 규격)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</si>
  <si>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</si>
  <si>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</si>
  <si>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</si>
  <si>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</si>
  <si>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</si>
  <si>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법률(법률) 제11조(영업의 승계)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</si>
  <si>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</si>
  <si>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제6조(영업의 신고 등)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</si>
  <si>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</si>
  <si>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</si>
  <si>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</si>
  <si>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</si>
  <si>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</si>
  <si>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</si>
  <si>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</si>
  <si>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</si>
  <si>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</si>
  <si>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</si>
  <si>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 시행규칙(총리령) 제49조의3(자료 또는 정보의 제공 및 연계 요청)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</si>
  <si>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</si>
  <si>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</si>
  <si>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</si>
  <si>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</si>
  <si>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</si>
  <si>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</si>
  <si>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</si>
  <si>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</si>
  <si>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</si>
  <si>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제7조(식품 또는 식품첨가물에 관한 기준 및 규격)</t>
    <phoneticPr fontId="2" type="noConversion"/>
  </si>
  <si>
    <t>식품위생법 시행령(대통령령) 제9조(유전자변형식품등의 안전성 심사)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</si>
  <si>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</si>
  <si>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</si>
  <si>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</si>
  <si>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</si>
  <si>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</si>
  <si>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</si>
  <si>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</si>
  <si>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제44조(영업자 등의 준수사항)</t>
    <phoneticPr fontId="2" type="noConversion"/>
  </si>
  <si>
    <t>식품위생법(법률) 제19조의4(검사명령 등)</t>
    <phoneticPr fontId="2" type="noConversion"/>
  </si>
  <si>
    <t>식품위생법 시행령(대통령령) 제20조(소비자 위생점검 참여 등)</t>
    <phoneticPr fontId="2" type="noConversion"/>
  </si>
  <si>
    <t>식품위생법 시행령(대통령령) 제7조(위해식품등에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</si>
  <si>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</si>
  <si>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</si>
  <si>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</si>
  <si>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</si>
  <si>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시행규칙(총리령) 제42조(영업의 신고 등)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</si>
  <si>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</si>
  <si>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</si>
  <si>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</si>
  <si>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</si>
  <si>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</si>
  <si>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 시행령(대통령령) 제32조의2(위생등급 지정에 관한 업무의 위탁)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</si>
  <si>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</si>
  <si>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 시행령(대통령령) 제34조(식품안전관리인증기준적용업소에 관한 업무의 위탁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</si>
  <si>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</si>
  <si>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</si>
  <si>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</si>
  <si>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</si>
  <si>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</si>
  <si>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</si>
  <si>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</si>
  <si>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</si>
  <si>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</si>
  <si>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</si>
  <si>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</si>
  <si>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</si>
  <si>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</si>
  <si>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</si>
  <si>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</si>
  <si>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</si>
  <si>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</si>
  <si>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</si>
  <si>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가축전염병 예방법 시행령(대통령령) 제15조의2(고유식별정보의 처리)</t>
  </si>
  <si>
    <t>가축전염병 예방법(법률) 제7조(가축방역관)</t>
  </si>
  <si>
    <t>가축전염병 예방법 시행령(대통령령) 제3조(가축방역관을 두는 기관 등)</t>
  </si>
  <si>
    <t>농약관리법(법률) 제17조의2(농약활용기자재의 등록)</t>
  </si>
  <si>
    <t>농약관리법 시행규칙(농림축산식품부령) 제27조(유통 농약등 또는 원제의 검사계획수립 등)</t>
  </si>
  <si>
    <t>농약관리법 시행령(대통령령) 제22조의2(민감정보 및 고유식별정보의 처리)</t>
  </si>
  <si>
    <t>먹는물관리법(법률) 제53조(다른 법률과의 관계)</t>
  </si>
  <si>
    <t>먹는물관리법(법률) 제8조의5(샘물보전구역에서의 금지행위)</t>
  </si>
  <si>
    <t>먹는물관리법 시행규칙(환경부령) 제42조(과징금 부과 제외)</t>
  </si>
  <si>
    <t>축산물 위생관리법(법률) 제33조의2(위해 평가)</t>
  </si>
  <si>
    <t>축산물 위생관리법(법률) 제12조(축산물의 검사)</t>
  </si>
  <si>
    <t>건강기능식품에 관한 법률 시행규칙(총리령) 제35조의2(규제의 재검토)</t>
  </si>
  <si>
    <t>건강기능식품에 관한 법률 시행규칙(총리령) 제20조의4(재평가의 기준방법 및 절차)</t>
  </si>
  <si>
    <t>수입식품안전관리 특별법 시행규칙(총리령) 제10조의2(특별위생관리식품의 수입위생평가 등)</t>
  </si>
  <si>
    <t>수입식품안전관리 특별법(법률) 제41조(수수료)</t>
  </si>
  <si>
    <t>식품위생법(법률) 제46조(식품등의 이물 발견보고 등)</t>
  </si>
  <si>
    <t>식품위생법 시행규칙(총리령) 제58조(회수대상 식품등의 기준)</t>
  </si>
  <si>
    <t>식품위생법 시행령(대통령령) 제18조(소비자식품위생감시원의 자격 등)</t>
  </si>
  <si>
    <t>농약관리법(법률) 제8조의2(수출농약의 등록 등)</t>
  </si>
  <si>
    <t>사료관리법 시행규칙(농림축산식품부령) 제13조(등록증의 재발급 신청)</t>
  </si>
  <si>
    <t>가축전염병 예방법(법률) 제52조의2(행정기관 간의 업무협조)</t>
    <phoneticPr fontId="2" type="noConversion"/>
  </si>
  <si>
    <t>가축전염병 예방법(법률) 제14조(가축전염병 병원체 분리신고 및 보존관리)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</si>
  <si>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</si>
  <si>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제49조(생계안정 등 지원)</t>
    <phoneticPr fontId="2" type="noConversion"/>
  </si>
  <si>
    <t>가축전염병 예방법(법률) 제7조(가축방역관)</t>
    <phoneticPr fontId="2" type="noConversion"/>
  </si>
  <si>
    <t>가축전염병 예방법(법률) 제34조(수입을 위한 검역증명서의 첨부)</t>
    <phoneticPr fontId="2" type="noConversion"/>
  </si>
  <si>
    <t>농약관리법(법률) 제17조의2(농약활용기자재의 등록)</t>
    <phoneticPr fontId="2" type="noConversion"/>
  </si>
  <si>
    <t>농약관리법(법률) 제20조(농약등 및 원제의 표시)</t>
    <phoneticPr fontId="2" type="noConversion"/>
  </si>
  <si>
    <t>농약관리법(법률) 제7조(등록의 취소 등)</t>
    <phoneticPr fontId="2" type="noConversion"/>
  </si>
  <si>
    <t>농약관리법(법률) 제17조(수입농약 등의 등록 등)</t>
    <phoneticPr fontId="2" type="noConversion"/>
  </si>
  <si>
    <t>농약관리법(법률) 제13조(신청에 의한 품목변경등록 등)</t>
    <phoneticPr fontId="2" type="noConversion"/>
  </si>
  <si>
    <t>농약관리법(법률) 제14조(직권에 의한 품목등록의 취소 등)</t>
    <phoneticPr fontId="2" type="noConversion"/>
  </si>
  <si>
    <t>농약관리법 시행령(대통령령) 제21조의4(조정위원회 구성 등의 권한 위임)</t>
    <phoneticPr fontId="2" type="noConversion"/>
  </si>
  <si>
    <t>먹는물관리법 시행령(대통령령) 제3조(샘물 또는 염지하수의 개발허가 대상)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</si>
  <si>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</si>
  <si>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먹는물관리법(법률) 제41조(자가 품질 검사의 의무)</t>
    <phoneticPr fontId="2" type="noConversion"/>
  </si>
  <si>
    <t>먹는물관리법 시행규칙(환경부령) 제33조(자가 품질 검사)</t>
    <phoneticPr fontId="2" type="noConversion"/>
  </si>
  <si>
    <t>먹는물관리법(법률) 제8조의2(냉온수기 또는 정수기의 설치관리)</t>
    <phoneticPr fontId="2" type="noConversion"/>
  </si>
  <si>
    <t>먹는물관리법(법률) 제49조(행정처분 효과의 승계)</t>
    <phoneticPr fontId="2" type="noConversion"/>
  </si>
  <si>
    <t>먹는물관리법(법률) 제48조의2(영업정지처분 등 조치 명령)</t>
    <phoneticPr fontId="2" type="noConversion"/>
  </si>
  <si>
    <t>사료관리법 시행규칙(농림축산식품부령) 제29조(사료검정기관의 지정 등)</t>
    <phoneticPr fontId="2" type="noConversion"/>
  </si>
  <si>
    <t>사료관리법 시행규칙(농림축산식품부령) 제17조(교육훈련 등)</t>
    <phoneticPr fontId="2" type="noConversion"/>
  </si>
  <si>
    <t>사료관리법 시행규칙(농림축산식품부령) 제15조(위해요소중점관리기준의 작성운용 등)</t>
    <phoneticPr fontId="2" type="noConversion"/>
  </si>
  <si>
    <t>사료관리법 시행규칙(농림축산식품부령) 제40조(규제의 재검토)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</si>
  <si>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</si>
  <si>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 시행령(대통령령) 제12조의2(기립불능 가축 중 도축금지 대상)</t>
    <phoneticPr fontId="2" type="noConversion"/>
  </si>
  <si>
    <t>축산물 위생관리법(법률) 제9조의3(안전관리인증기준의 준수 여부 평가 등)</t>
    <phoneticPr fontId="2" type="noConversion"/>
  </si>
  <si>
    <t>축산물 위생관리법 시행령(대통령령) 제17조의2(검사관의 기준 업무량 등)</t>
    <phoneticPr fontId="2" type="noConversion"/>
  </si>
  <si>
    <t>축산물 위생관리법(법률) 제15조의2(수입판매 금지 등)</t>
    <phoneticPr fontId="2" type="noConversion"/>
  </si>
  <si>
    <t>축산물 위생관리법(법률) 제31조의2(위해 축산물의 회수 및 폐기 등)</t>
    <phoneticPr fontId="2" type="noConversion"/>
  </si>
  <si>
    <t>축산물 위생관리법(법률) 제42조(공중위생상 위해 시의 조치)</t>
    <phoneticPr fontId="2" type="noConversion"/>
  </si>
  <si>
    <t>축산물 위생관리법(법률) 제25조(품목 제조의 보고)</t>
    <phoneticPr fontId="2" type="noConversion"/>
  </si>
  <si>
    <t>축산물 위생관리법 시행규칙(총리령) 제9조(도축하는 가축 및 그 식육의 검사)</t>
    <phoneticPr fontId="2" type="noConversion"/>
  </si>
  <si>
    <t>식품ㆍ의약품분야 시험ㆍ검사 등에 관한 법률 시행규칙(총리령) 제25조의2(시험검사평가지도원의 자격 등)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</si>
  <si>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</si>
  <si>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</si>
  <si>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제22조의2(건강기능식품이력추적관리 등록기준 등)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</si>
  <si>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</si>
  <si>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제20조의2(소비자등의 위생검사등 요청)</t>
    <phoneticPr fontId="2" type="noConversion"/>
  </si>
  <si>
    <t>건강기능식품에 관한 법률(법률) 제34조(행정제재처분 효과의 승계)</t>
    <phoneticPr fontId="2" type="noConversion"/>
  </si>
  <si>
    <t>건강기능식품에 관한 법률(법률) 제40조(포상금 지급)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</si>
  <si>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</si>
  <si>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</si>
  <si>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시행규칙(총리령) 제49조(정보수집요원 운영)</t>
    <phoneticPr fontId="2" type="noConversion"/>
  </si>
  <si>
    <t>수입식품안전관리 특별법(법률) 제25조(출입검사수거 등)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</si>
  <si>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</si>
  <si>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특별법(법률) 제43조(벌칙)</t>
    <phoneticPr fontId="2" type="noConversion"/>
  </si>
  <si>
    <t>수입식품안전관리 특별법 시행규칙(총리령) 제50조(수수료)</t>
    <phoneticPr fontId="2" type="noConversion"/>
  </si>
  <si>
    <t>식품위생법 시행령(대통령령) 제4조(위해평가의 대상 등)</t>
    <phoneticPr fontId="2" type="noConversion"/>
  </si>
  <si>
    <t>식품위생법(법률) 제46조(식품등의 이물 발견보고 등)</t>
    <phoneticPr fontId="2" type="noConversion"/>
  </si>
  <si>
    <t>식품위생법 시행령(대통령령) 제32조(식품등의 오염사고의 보고 대상)</t>
    <phoneticPr fontId="2" type="noConversion"/>
  </si>
  <si>
    <t>식품위생법 시행규칙(총리령) 제35조(위생점검의 절차 및 결과 표시 등)</t>
    <phoneticPr fontId="2" type="noConversion"/>
  </si>
  <si>
    <t>식품위생법 시행규칙(총리령) 제48조(영업자 지위승계 신고)</t>
    <phoneticPr fontId="2" type="noConversion"/>
  </si>
  <si>
    <t>식품위생법 시행령(대통령령) 제17조의2(식품위생감시원의 교육)</t>
    <phoneticPr fontId="2" type="noConversion"/>
  </si>
  <si>
    <t>식품위생법 시행령(대통령령) 제40조(위원의 직무)</t>
    <phoneticPr fontId="2" type="noConversion"/>
  </si>
  <si>
    <t>식품위생법(법률) 제41조의2(위생관리책임자)</t>
    <phoneticPr fontId="2" type="noConversion"/>
  </si>
  <si>
    <t>가축전염병 예방법 시행규칙(농림축산식품부령) 제22조의4(방목가능 시설 또는 장비 등)</t>
  </si>
  <si>
    <t>가축전염병 예방법 시행령(대통령령) 제2조의3(검역 및 방역 시설 설치운영)</t>
    <phoneticPr fontId="2" type="noConversion"/>
  </si>
  <si>
    <t>농약관리법(법률) 제24조(유통 농약 및 농약활용기자재의 검사 등)</t>
    <phoneticPr fontId="2" type="noConversion"/>
  </si>
  <si>
    <t>사료관리법(법률) 제2조(정의)</t>
    <phoneticPr fontId="2" type="noConversion"/>
  </si>
  <si>
    <t>축산물 위생관리법 시행규칙(총리령) 제7조의3(안전관리인증작업장등의 인증신청 등)</t>
    <phoneticPr fontId="2" type="noConversion"/>
  </si>
  <si>
    <t>가축전염병 예방법 시행규칙(농림축산식품부령) 제23조(살처분 명령 등)</t>
  </si>
  <si>
    <t>가축전염병 예방법 시행규칙(농림축산식품부령) 제11조(방역본부에 대한 보고지시 및 감독)</t>
  </si>
  <si>
    <t>사료관리법(법률) 제25조(제조업의 등록취소 등)</t>
  </si>
  <si>
    <t>축산물 위생관리법 시행규칙(총리령) 제58조의2(가축외동물의 검사 방법 및 기준 등)</t>
  </si>
  <si>
    <t>건강기능식품에 관한 법률(법률) 제21조의2(원재료의 검사 확인 의무 등)</t>
  </si>
  <si>
    <t>수입식품안전관리 특별법 시행규칙(총리령) 제14조(해외작업장의 등록 취소 등)</t>
  </si>
  <si>
    <t>수입식품안전관리 특별법(법률) 제26조(교육명령)</t>
  </si>
  <si>
    <t>가축전염병 예방법(법률) 제17조의6(방역기준의 준수)</t>
    <phoneticPr fontId="2" type="noConversion"/>
  </si>
  <si>
    <t>농약관리법 시행규칙(농림축산식품부령) 제19조의3(직권 이외의 사유로 인한 품목등록 취소 등의 농약등의 폐기 및 보상)</t>
    <phoneticPr fontId="2" type="noConversion"/>
  </si>
  <si>
    <t>농약관리법(법률) 제25조(농약등 또는 원제의 관리에 관한 보고 등)</t>
    <phoneticPr fontId="2" type="noConversion"/>
  </si>
  <si>
    <t>먹는물관리법(법률) 제38조(수출용 제품의 기준, 규격, 표시 기준)</t>
    <phoneticPr fontId="2" type="noConversion"/>
  </si>
  <si>
    <t>먹는물관리법 시행규칙(환경부령) 제4조의2(샘물등의 개발 임시 허가 변경신고)</t>
    <phoneticPr fontId="2" type="noConversion"/>
  </si>
  <si>
    <t>먹는물관리법(법률) 제43조(검사기관의 지정)</t>
    <phoneticPr fontId="2" type="noConversion"/>
  </si>
  <si>
    <t>사료관리법(법률) 제11조(사료의 공정 등)</t>
    <phoneticPr fontId="2" type="noConversion"/>
  </si>
  <si>
    <t>축산물 위생관리법(법률) 제33조의2(위해 평가)</t>
    <phoneticPr fontId="2" type="noConversion"/>
  </si>
  <si>
    <t>식품ㆍ의약품분야 시험ㆍ검사 등에 관한 법률(법률) 제8조의2(국외시험검사기관 지정의 유효기간)</t>
    <phoneticPr fontId="2" type="noConversion"/>
  </si>
  <si>
    <t>건강기능식품에 관한 법률 시행규칙(총리령) 제19조(교육시간)</t>
    <phoneticPr fontId="2" type="noConversion"/>
  </si>
  <si>
    <t>건강기능식품에 관한 법률(법률) 제21조(자가품질검사 의무)</t>
    <phoneticPr fontId="2" type="noConversion"/>
  </si>
  <si>
    <t>수입식품안전관리 특별법(법률) 제21조(수입검사 등)</t>
    <phoneticPr fontId="2" type="noConversion"/>
  </si>
  <si>
    <t>수입식품안전관리 특별법 시행규칙(총리령) 제36조(유통이력추적관리 등록신청 등)</t>
    <phoneticPr fontId="2" type="noConversion"/>
  </si>
  <si>
    <t>수입식품안전관리 특별법(법률) 제26조(교육명령)</t>
    <phoneticPr fontId="2" type="noConversion"/>
  </si>
  <si>
    <t>수입식품안전관리 특별법 시행규칙(총리령) 제44조의2(직접구매 해외식품등에 관한 위해 정보 게시 방법 등)</t>
    <phoneticPr fontId="2" type="noConversion"/>
  </si>
  <si>
    <t>수입식품안전관리 특별법(법률) 제9조(현지실사 등 위탁)</t>
    <phoneticPr fontId="2" type="noConversion"/>
  </si>
  <si>
    <t>식품위생법(법률) 제9조의2(기구 및 용기포장에 사용하는 재생원료에 관한 인정)</t>
    <phoneticPr fontId="2" type="noConversion"/>
  </si>
  <si>
    <t>식품위생법(법률) 제70조의7(건강 위해가능 영양성분 관리)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</si>
</sst>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H500" zoomScale="70" zoomScaleNormal="70" workbookViewId="0">
      <selection activeCell="I512" sqref="I512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7" t="s">
        <v>550</v>
      </c>
      <c r="F2" s="6" t="b">
        <f>NOT(ISBLANK(D2))</f>
        <v>1</v>
      </c>
      <c r="G2" s="6">
        <f>IF(F2=TRUE, 1, 0)</f>
        <v>1</v>
      </c>
      <c r="H2" s="6" t="b">
        <f>hascolor(E2,$L$5)</f>
        <v>1</v>
      </c>
      <c r="I2" s="6">
        <f>IF(H2, 1, 0)</f>
        <v>1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790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498</v>
      </c>
      <c r="E4" s="4" t="s">
        <v>548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502</v>
      </c>
      <c r="E5" s="4" t="s">
        <v>857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517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1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550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790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499</v>
      </c>
      <c r="E9" s="8" t="s">
        <v>548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501</v>
      </c>
      <c r="E10" s="4" t="s">
        <v>857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8" t="s">
        <v>517</v>
      </c>
      <c r="F11" s="6" t="b">
        <f t="shared" si="0"/>
        <v>0</v>
      </c>
      <c r="G11" s="6">
        <f t="shared" si="1"/>
        <v>0</v>
      </c>
      <c r="H11" s="6" t="b">
        <f t="shared" si="2"/>
        <v>1</v>
      </c>
      <c r="I11" s="6">
        <f t="shared" si="3"/>
        <v>1</v>
      </c>
      <c r="J11">
        <f t="shared" ref="J11" si="4"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550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551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503</v>
      </c>
      <c r="E14" s="4" t="s">
        <v>552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791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476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554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553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504</v>
      </c>
      <c r="E19" s="8" t="s">
        <v>555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500</v>
      </c>
      <c r="E20" s="4" t="s">
        <v>792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850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556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557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791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789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769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558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793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8" t="s">
        <v>559</v>
      </c>
      <c r="F29" s="6" t="b">
        <f t="shared" si="0"/>
        <v>0</v>
      </c>
      <c r="G29" s="6">
        <f t="shared" si="1"/>
        <v>0</v>
      </c>
      <c r="H29" s="6" t="b">
        <f t="shared" si="2"/>
        <v>1</v>
      </c>
      <c r="I29" s="6">
        <f t="shared" si="3"/>
        <v>1</v>
      </c>
    </row>
    <row r="30" spans="2:10" ht="17.25" thickBot="1" x14ac:dyDescent="0.35">
      <c r="B30" s="4"/>
      <c r="C30" s="4"/>
      <c r="D30" s="4"/>
      <c r="E30" s="4" t="s">
        <v>560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771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562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505</v>
      </c>
      <c r="E33" s="8" t="s">
        <v>563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506</v>
      </c>
      <c r="E34" s="8" t="s">
        <v>559</v>
      </c>
      <c r="F34" s="6" t="b">
        <f t="shared" si="0"/>
        <v>1</v>
      </c>
      <c r="G34" s="6">
        <f t="shared" si="1"/>
        <v>1</v>
      </c>
      <c r="H34" s="6" t="b">
        <f t="shared" si="2"/>
        <v>1</v>
      </c>
      <c r="I34" s="6">
        <f t="shared" si="3"/>
        <v>1</v>
      </c>
    </row>
    <row r="35" spans="2:10" ht="17.25" thickBot="1" x14ac:dyDescent="0.35">
      <c r="B35" s="4"/>
      <c r="C35" s="4"/>
      <c r="D35" s="4"/>
      <c r="E35" s="4" t="s">
        <v>547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851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554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563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507</v>
      </c>
      <c r="E39" s="4" t="s">
        <v>564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8" t="s">
        <v>565</v>
      </c>
      <c r="F40" s="6" t="b">
        <f t="shared" si="0"/>
        <v>0</v>
      </c>
      <c r="G40" s="6">
        <f t="shared" si="1"/>
        <v>0</v>
      </c>
      <c r="H40" s="6" t="b">
        <f t="shared" si="2"/>
        <v>1</v>
      </c>
      <c r="I40" s="6">
        <f t="shared" si="3"/>
        <v>1</v>
      </c>
    </row>
    <row r="41" spans="2:10" ht="17.25" thickBot="1" x14ac:dyDescent="0.35">
      <c r="B41" s="5"/>
      <c r="C41" s="5"/>
      <c r="D41" s="5"/>
      <c r="E41" s="4" t="s">
        <v>770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548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508</v>
      </c>
      <c r="E43" s="8" t="s">
        <v>549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s="4" t="s">
        <v>566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794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477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558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559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561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846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845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10</v>
      </c>
      <c r="M51">
        <f>SUM(I2:I51)</f>
        <v>20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795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796</v>
      </c>
      <c r="F53" s="6" t="b">
        <f t="shared" si="0"/>
        <v>1</v>
      </c>
      <c r="G53" s="6">
        <f t="shared" si="1"/>
        <v>1</v>
      </c>
      <c r="H53" s="6" t="b">
        <f t="shared" si="2"/>
        <v>1</v>
      </c>
      <c r="I53" s="6">
        <f t="shared" si="3"/>
        <v>1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568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569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481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797</v>
      </c>
      <c r="F57" s="6" t="b">
        <f t="shared" si="0"/>
        <v>1</v>
      </c>
      <c r="G57" s="6">
        <f t="shared" si="1"/>
        <v>1</v>
      </c>
      <c r="H57" s="6" t="b">
        <f t="shared" si="2"/>
        <v>1</v>
      </c>
      <c r="I57" s="6">
        <f t="shared" si="3"/>
        <v>1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581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588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571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773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572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847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858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8" t="s">
        <v>859</v>
      </c>
      <c r="F65" s="6" t="b">
        <f t="shared" si="0"/>
        <v>0</v>
      </c>
      <c r="G65" s="6">
        <f t="shared" si="1"/>
        <v>0</v>
      </c>
      <c r="H65" s="6" t="b">
        <f t="shared" si="2"/>
        <v>1</v>
      </c>
      <c r="I65" s="6">
        <f t="shared" si="3"/>
        <v>1</v>
      </c>
    </row>
    <row r="66" spans="2:10" ht="17.25" thickBot="1" x14ac:dyDescent="0.35">
      <c r="B66" s="5"/>
      <c r="C66" s="5"/>
      <c r="D66" s="5"/>
      <c r="E66" s="4" t="s">
        <v>787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1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574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573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497</v>
      </c>
      <c r="E69" s="4" t="s">
        <v>798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575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479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576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577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578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579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480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574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573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497</v>
      </c>
      <c r="E79" s="4" t="s">
        <v>799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575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481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581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588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8" t="s">
        <v>797</v>
      </c>
      <c r="F84" s="6" t="b">
        <f t="shared" si="16"/>
        <v>1</v>
      </c>
      <c r="G84" s="6">
        <f t="shared" si="17"/>
        <v>1</v>
      </c>
      <c r="H84" s="6" t="b">
        <f t="shared" si="18"/>
        <v>1</v>
      </c>
      <c r="I84" s="6">
        <f t="shared" si="19"/>
        <v>1</v>
      </c>
    </row>
    <row r="85" spans="2:10" ht="17.25" thickBot="1" x14ac:dyDescent="0.35">
      <c r="B85" s="4"/>
      <c r="C85" s="4"/>
      <c r="D85" s="4"/>
      <c r="E85" s="4" t="s">
        <v>582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541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569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583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580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800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772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567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8" t="s">
        <v>584</v>
      </c>
      <c r="F93" s="6" t="b">
        <f t="shared" si="16"/>
        <v>1</v>
      </c>
      <c r="G93" s="6">
        <f t="shared" si="17"/>
        <v>1</v>
      </c>
      <c r="H93" s="6" t="b">
        <f t="shared" si="18"/>
        <v>1</v>
      </c>
      <c r="I93" s="6">
        <f t="shared" si="19"/>
        <v>1</v>
      </c>
    </row>
    <row r="94" spans="2:10" ht="17.25" thickBot="1" x14ac:dyDescent="0.35">
      <c r="B94" s="4"/>
      <c r="C94" s="4"/>
      <c r="D94" s="4"/>
      <c r="E94" s="4" t="s">
        <v>585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570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478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586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587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580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801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774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10</v>
      </c>
      <c r="M101">
        <f>SUM(I52:I101)</f>
        <v>16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590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802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803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860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8" t="s">
        <v>542</v>
      </c>
      <c r="F106" s="6" t="b">
        <f t="shared" si="16"/>
        <v>0</v>
      </c>
      <c r="G106" s="6">
        <f t="shared" si="17"/>
        <v>0</v>
      </c>
      <c r="H106" s="6" t="b">
        <f t="shared" si="18"/>
        <v>1</v>
      </c>
      <c r="I106" s="6">
        <f t="shared" si="19"/>
        <v>1</v>
      </c>
      <c r="J106">
        <f t="shared" ref="J106" si="27">IF(hascolor(E102:E106,$L$5)=TRUE, 1, 0)</f>
        <v>1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804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8" t="s">
        <v>591</v>
      </c>
      <c r="F108" s="6" t="b">
        <f t="shared" si="16"/>
        <v>1</v>
      </c>
      <c r="G108" s="6">
        <f t="shared" si="17"/>
        <v>1</v>
      </c>
      <c r="H108" s="6" t="b">
        <f t="shared" si="18"/>
        <v>1</v>
      </c>
      <c r="I108" s="6">
        <f t="shared" si="19"/>
        <v>1</v>
      </c>
    </row>
    <row r="109" spans="1:13" ht="17.25" thickBot="1" x14ac:dyDescent="0.35">
      <c r="B109" s="4"/>
      <c r="C109" s="4"/>
      <c r="D109" s="4"/>
      <c r="E109" s="4" t="s">
        <v>589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805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8" t="s">
        <v>518</v>
      </c>
      <c r="F111" s="6" t="b">
        <f t="shared" si="16"/>
        <v>0</v>
      </c>
      <c r="G111" s="6">
        <f t="shared" si="17"/>
        <v>0</v>
      </c>
      <c r="H111" s="6" t="b">
        <f t="shared" si="18"/>
        <v>1</v>
      </c>
      <c r="I111" s="6">
        <f t="shared" si="19"/>
        <v>1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593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594</v>
      </c>
      <c r="F113" s="6" t="b">
        <f t="shared" si="16"/>
        <v>1</v>
      </c>
      <c r="G113" s="6">
        <f t="shared" si="17"/>
        <v>1</v>
      </c>
      <c r="H113" s="6" t="b">
        <f t="shared" si="18"/>
        <v>1</v>
      </c>
      <c r="I113" s="6">
        <f t="shared" si="19"/>
        <v>1</v>
      </c>
    </row>
    <row r="114" spans="2:10" ht="17.25" thickBot="1" x14ac:dyDescent="0.35">
      <c r="B114" s="4"/>
      <c r="C114" s="4"/>
      <c r="D114" s="4"/>
      <c r="E114" s="8" t="s">
        <v>592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861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775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596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595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597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806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776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599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598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601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600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777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509</v>
      </c>
      <c r="E127" s="7" t="s">
        <v>602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862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603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604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8" t="s">
        <v>483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1</v>
      </c>
      <c r="I131" s="6">
        <f t="shared" ref="I131:I194" si="35">IF(H131, 1, 0)</f>
        <v>1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510</v>
      </c>
      <c r="E132" s="7" t="s">
        <v>604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603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605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606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483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607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608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593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609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482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610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611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176</v>
      </c>
      <c r="D144" s="4"/>
      <c r="E144" s="4" t="s">
        <v>807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612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519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613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614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3" ht="17.25" thickBot="1" x14ac:dyDescent="0.35">
      <c r="B149" s="4"/>
      <c r="C149" s="4"/>
      <c r="D149" s="4"/>
      <c r="E149" s="4" t="s">
        <v>609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808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520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10</v>
      </c>
      <c r="M151">
        <f>SUM(I102:I151)</f>
        <v>19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615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616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617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8" t="s">
        <v>618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5"/>
        <v>1</v>
      </c>
    </row>
    <row r="156" spans="1:13" ht="17.25" thickBot="1" x14ac:dyDescent="0.35">
      <c r="B156" s="5"/>
      <c r="C156" s="5"/>
      <c r="D156" s="5"/>
      <c r="E156" s="4" t="s">
        <v>852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616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617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619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809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788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620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621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627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619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521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811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623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8" t="s">
        <v>622</v>
      </c>
      <c r="F169" s="6" t="b">
        <f t="shared" si="32"/>
        <v>0</v>
      </c>
      <c r="G169" s="6">
        <f t="shared" si="33"/>
        <v>0</v>
      </c>
      <c r="H169" s="6" t="b">
        <f t="shared" si="34"/>
        <v>1</v>
      </c>
      <c r="I169" s="6">
        <f t="shared" si="35"/>
        <v>1</v>
      </c>
    </row>
    <row r="170" spans="2:10" ht="17.25" thickBot="1" x14ac:dyDescent="0.35">
      <c r="B170" s="4"/>
      <c r="C170" s="4"/>
      <c r="D170" s="4"/>
      <c r="E170" s="4" t="s">
        <v>810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8" t="s">
        <v>543</v>
      </c>
      <c r="F171" s="6" t="b">
        <f t="shared" si="32"/>
        <v>0</v>
      </c>
      <c r="G171" s="6">
        <f t="shared" si="33"/>
        <v>0</v>
      </c>
      <c r="H171" s="6" t="b">
        <f t="shared" si="34"/>
        <v>1</v>
      </c>
      <c r="I171" s="6">
        <f t="shared" si="35"/>
        <v>1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625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624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s="4" t="s">
        <v>626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627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522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627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628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625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848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544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619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511</v>
      </c>
      <c r="D183" s="4" t="s">
        <v>414</v>
      </c>
      <c r="E183" s="8" t="s">
        <v>629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616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622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523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6" t="s">
        <v>632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8" t="s">
        <v>631</v>
      </c>
      <c r="F188" s="6" t="b">
        <f t="shared" si="32"/>
        <v>1</v>
      </c>
      <c r="G188" s="6">
        <f t="shared" si="33"/>
        <v>1</v>
      </c>
      <c r="H188" s="6" t="b">
        <f t="shared" si="34"/>
        <v>1</v>
      </c>
      <c r="I188" s="6">
        <f t="shared" si="35"/>
        <v>1</v>
      </c>
    </row>
    <row r="189" spans="2:10" ht="17.25" thickBot="1" x14ac:dyDescent="0.35">
      <c r="B189" s="4"/>
      <c r="C189" s="4"/>
      <c r="D189" s="4"/>
      <c r="E189" s="4" t="s">
        <v>633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634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485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635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512</v>
      </c>
      <c r="E193" s="8" t="s">
        <v>636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637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630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523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7" t="s">
        <v>638</v>
      </c>
      <c r="F197" s="6" t="b">
        <f t="shared" si="49"/>
        <v>1</v>
      </c>
      <c r="G197" s="6">
        <f t="shared" si="50"/>
        <v>1</v>
      </c>
      <c r="H197" s="6" t="b">
        <f t="shared" si="51"/>
        <v>1</v>
      </c>
      <c r="I197" s="6">
        <f t="shared" si="52"/>
        <v>1</v>
      </c>
    </row>
    <row r="198" spans="1:13" ht="17.25" thickBot="1" x14ac:dyDescent="0.35">
      <c r="B198" s="4"/>
      <c r="C198" s="4" t="s">
        <v>198</v>
      </c>
      <c r="D198" s="4" t="s">
        <v>513</v>
      </c>
      <c r="E198" s="4" t="s">
        <v>639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812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863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484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813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814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864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8" t="s">
        <v>640</v>
      </c>
      <c r="F205" s="6" t="b">
        <f t="shared" si="49"/>
        <v>0</v>
      </c>
      <c r="G205" s="6">
        <f t="shared" si="50"/>
        <v>0</v>
      </c>
      <c r="H205" s="6" t="b">
        <f t="shared" si="51"/>
        <v>1</v>
      </c>
      <c r="I205" s="6">
        <f t="shared" si="52"/>
        <v>1</v>
      </c>
    </row>
    <row r="206" spans="1:13" ht="17.25" thickBot="1" x14ac:dyDescent="0.35">
      <c r="B206" s="5"/>
      <c r="C206" s="5"/>
      <c r="D206" s="5"/>
      <c r="E206" s="4" t="s">
        <v>524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7" t="s">
        <v>642</v>
      </c>
      <c r="F207" s="6" t="b">
        <f t="shared" si="49"/>
        <v>1</v>
      </c>
      <c r="G207" s="6">
        <f t="shared" si="50"/>
        <v>1</v>
      </c>
      <c r="H207" s="6" t="b">
        <f t="shared" si="51"/>
        <v>1</v>
      </c>
      <c r="I207" s="6">
        <f t="shared" si="52"/>
        <v>1</v>
      </c>
    </row>
    <row r="208" spans="1:13" ht="17.25" thickBot="1" x14ac:dyDescent="0.35">
      <c r="B208" s="4"/>
      <c r="C208" s="4"/>
      <c r="D208" s="4"/>
      <c r="E208" s="4" t="s">
        <v>643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815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816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779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644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643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815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849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525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817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818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8" t="s">
        <v>641</v>
      </c>
      <c r="F219" s="6" t="b">
        <f t="shared" si="49"/>
        <v>0</v>
      </c>
      <c r="G219" s="6">
        <f t="shared" si="50"/>
        <v>0</v>
      </c>
      <c r="H219" s="6" t="b">
        <f t="shared" si="51"/>
        <v>1</v>
      </c>
      <c r="I219" s="6">
        <f t="shared" si="52"/>
        <v>1</v>
      </c>
    </row>
    <row r="220" spans="2:10" ht="17.25" thickBot="1" x14ac:dyDescent="0.35">
      <c r="B220" s="4"/>
      <c r="C220" s="4"/>
      <c r="D220" s="4"/>
      <c r="E220" s="4" t="s">
        <v>646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778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647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648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649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650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651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652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819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653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527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650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647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654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655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656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657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645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641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648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647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657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658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526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659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657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820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821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853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9</v>
      </c>
      <c r="M251">
        <f>SUM(I202:I251)</f>
        <v>9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661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8" t="s">
        <v>660</v>
      </c>
      <c r="F253" s="6" t="b">
        <f t="shared" si="49"/>
        <v>1</v>
      </c>
      <c r="G253" s="6">
        <f t="shared" si="50"/>
        <v>1</v>
      </c>
      <c r="H253" s="6" t="b">
        <f t="shared" si="51"/>
        <v>1</v>
      </c>
      <c r="I253" s="6">
        <f t="shared" si="52"/>
        <v>1</v>
      </c>
    </row>
    <row r="254" spans="1:13" ht="17.25" thickBot="1" x14ac:dyDescent="0.35">
      <c r="B254" s="4"/>
      <c r="C254" s="11"/>
      <c r="E254" s="4" t="s">
        <v>662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865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530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663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493</v>
      </c>
      <c r="D258" s="11" t="s">
        <v>493</v>
      </c>
      <c r="E258" s="4" t="s">
        <v>682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494</v>
      </c>
      <c r="D259" s="11" t="s">
        <v>494</v>
      </c>
      <c r="E259" s="4" t="s">
        <v>678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664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531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668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496</v>
      </c>
      <c r="E263" s="8" t="s">
        <v>669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516</v>
      </c>
      <c r="D264" s="4" t="s">
        <v>495</v>
      </c>
      <c r="E264" s="4" t="s">
        <v>667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8" t="s">
        <v>666</v>
      </c>
      <c r="F265" s="6" t="b">
        <f t="shared" si="66"/>
        <v>0</v>
      </c>
      <c r="G265" s="6">
        <f t="shared" si="67"/>
        <v>0</v>
      </c>
      <c r="H265" s="6" t="b">
        <f t="shared" si="68"/>
        <v>1</v>
      </c>
      <c r="I265" s="6">
        <f t="shared" si="69"/>
        <v>1</v>
      </c>
    </row>
    <row r="266" spans="2:10" ht="17.25" thickBot="1" x14ac:dyDescent="0.35">
      <c r="B266" s="5"/>
      <c r="C266" s="5"/>
      <c r="D266" s="5"/>
      <c r="E266" s="8" t="s">
        <v>532</v>
      </c>
      <c r="F266" s="6" t="b">
        <f t="shared" si="66"/>
        <v>0</v>
      </c>
      <c r="G266" s="6">
        <f t="shared" si="67"/>
        <v>0</v>
      </c>
      <c r="H266" s="6" t="b">
        <f t="shared" si="68"/>
        <v>1</v>
      </c>
      <c r="I266" s="6">
        <f t="shared" si="69"/>
        <v>1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495</v>
      </c>
      <c r="E267" s="7" t="s">
        <v>669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670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667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665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528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671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672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673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822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545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7" t="s">
        <v>676</v>
      </c>
      <c r="F277" s="6" t="b">
        <f t="shared" si="66"/>
        <v>1</v>
      </c>
      <c r="G277" s="6">
        <f t="shared" si="67"/>
        <v>1</v>
      </c>
      <c r="H277" s="6" t="b">
        <f t="shared" si="68"/>
        <v>1</v>
      </c>
      <c r="I277" s="6">
        <f t="shared" si="69"/>
        <v>1</v>
      </c>
    </row>
    <row r="278" spans="2:10" ht="17.25" thickBot="1" x14ac:dyDescent="0.35">
      <c r="B278" s="4"/>
      <c r="C278" s="4"/>
      <c r="D278" s="4"/>
      <c r="E278" s="4" t="s">
        <v>675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674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667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516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674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675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676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683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516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677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679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678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682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486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680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681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3" ht="17.25" thickBot="1" x14ac:dyDescent="0.35">
      <c r="B294" s="4"/>
      <c r="C294" s="4"/>
      <c r="D294" s="4"/>
      <c r="E294" s="4" t="s">
        <v>823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677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516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682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8" t="s">
        <v>667</v>
      </c>
      <c r="F298" s="6" t="b">
        <f t="shared" si="66"/>
        <v>1</v>
      </c>
      <c r="G298" s="6">
        <f t="shared" si="67"/>
        <v>1</v>
      </c>
      <c r="H298" s="6" t="b">
        <f t="shared" si="68"/>
        <v>1</v>
      </c>
      <c r="I298" s="6">
        <f t="shared" si="69"/>
        <v>1</v>
      </c>
    </row>
    <row r="299" spans="1:13" ht="17.25" thickBot="1" x14ac:dyDescent="0.35">
      <c r="B299" s="4"/>
      <c r="C299" s="4"/>
      <c r="D299" s="4"/>
      <c r="E299" s="4" t="s">
        <v>683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674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529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16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684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685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686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689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854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685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703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688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704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533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689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686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8" t="s">
        <v>687</v>
      </c>
      <c r="F314" s="6" t="b">
        <f t="shared" si="66"/>
        <v>0</v>
      </c>
      <c r="G314" s="6">
        <f t="shared" si="67"/>
        <v>0</v>
      </c>
      <c r="H314" s="6" t="b">
        <f t="shared" si="68"/>
        <v>1</v>
      </c>
      <c r="I314" s="6">
        <f t="shared" si="69"/>
        <v>1</v>
      </c>
    </row>
    <row r="315" spans="2:10" ht="17.25" thickBot="1" x14ac:dyDescent="0.35">
      <c r="B315" s="4"/>
      <c r="C315" s="4"/>
      <c r="D315" s="4"/>
      <c r="E315" s="4" t="s">
        <v>700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490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824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692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8" t="s">
        <v>690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8" t="s">
        <v>691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4" t="s">
        <v>488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514</v>
      </c>
      <c r="E322" s="7" t="s">
        <v>695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694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697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825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487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515</v>
      </c>
      <c r="E327" s="7" t="s">
        <v>698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699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700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866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490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701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691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693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867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8" t="s">
        <v>489</v>
      </c>
      <c r="F336" s="6" t="b">
        <f t="shared" si="83"/>
        <v>1</v>
      </c>
      <c r="G336" s="6">
        <f t="shared" si="84"/>
        <v>1</v>
      </c>
      <c r="H336" s="6" t="b">
        <f t="shared" si="85"/>
        <v>1</v>
      </c>
      <c r="I336" s="6">
        <f t="shared" si="86"/>
        <v>1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826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8" t="s">
        <v>684</v>
      </c>
      <c r="F338" s="6" t="b">
        <f t="shared" si="83"/>
        <v>1</v>
      </c>
      <c r="G338" s="6">
        <f t="shared" si="84"/>
        <v>1</v>
      </c>
      <c r="H338" s="6" t="b">
        <f t="shared" si="85"/>
        <v>1</v>
      </c>
      <c r="I338" s="6">
        <f t="shared" si="86"/>
        <v>1</v>
      </c>
    </row>
    <row r="339" spans="1:13" ht="17.25" thickBot="1" x14ac:dyDescent="0.35">
      <c r="B339" s="4"/>
      <c r="C339" s="4"/>
      <c r="D339" s="4"/>
      <c r="E339" s="4" t="s">
        <v>689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696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780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687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827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828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829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781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702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828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704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830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533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9</v>
      </c>
      <c r="M351">
        <f>SUM(I302:I351)</f>
        <v>16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705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706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254</v>
      </c>
      <c r="D354" s="4"/>
      <c r="E354" s="4" t="s">
        <v>707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831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472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706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705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257</v>
      </c>
      <c r="E359" s="4" t="s">
        <v>707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711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782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708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709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8" t="s">
        <v>831</v>
      </c>
      <c r="F364" s="6" t="b">
        <f t="shared" si="83"/>
        <v>0</v>
      </c>
      <c r="G364" s="6">
        <f t="shared" si="84"/>
        <v>0</v>
      </c>
      <c r="H364" s="6" t="b">
        <f t="shared" si="85"/>
        <v>1</v>
      </c>
      <c r="I364" s="6">
        <f t="shared" si="86"/>
        <v>1</v>
      </c>
    </row>
    <row r="365" spans="2:10" ht="17.25" thickBot="1" x14ac:dyDescent="0.35">
      <c r="B365" s="4"/>
      <c r="C365" s="4"/>
      <c r="D365" s="4"/>
      <c r="E365" s="4" t="s">
        <v>868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855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710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711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706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869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783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712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713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832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870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534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714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8" t="s">
        <v>833</v>
      </c>
      <c r="F378" s="6" t="b">
        <f t="shared" si="83"/>
        <v>1</v>
      </c>
      <c r="G378" s="6">
        <f t="shared" si="84"/>
        <v>1</v>
      </c>
      <c r="H378" s="6" t="b">
        <f t="shared" si="85"/>
        <v>1</v>
      </c>
      <c r="I378" s="6">
        <f t="shared" si="86"/>
        <v>1</v>
      </c>
    </row>
    <row r="379" spans="2:10" ht="17.25" thickBot="1" x14ac:dyDescent="0.35">
      <c r="B379" s="4"/>
      <c r="C379" s="4"/>
      <c r="D379" s="4"/>
      <c r="E379" s="4" t="s">
        <v>719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715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536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716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834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835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720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856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718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717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716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871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535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719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836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716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717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473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723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8" t="s">
        <v>721</v>
      </c>
      <c r="F398" s="6" t="b">
        <f t="shared" si="100"/>
        <v>0</v>
      </c>
      <c r="G398" s="6">
        <f t="shared" si="101"/>
        <v>0</v>
      </c>
      <c r="H398" s="6" t="b">
        <f t="shared" si="102"/>
        <v>1</v>
      </c>
      <c r="I398" s="6">
        <f t="shared" si="103"/>
        <v>1</v>
      </c>
    </row>
    <row r="399" spans="2:10" ht="17.25" thickBot="1" x14ac:dyDescent="0.35">
      <c r="B399" s="4"/>
      <c r="C399" s="4" t="s">
        <v>461</v>
      </c>
      <c r="D399" s="4"/>
      <c r="E399" s="4" t="s">
        <v>722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872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782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9</v>
      </c>
      <c r="M401">
        <f>SUM(I352:I401)</f>
        <v>16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724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837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8" t="s">
        <v>725</v>
      </c>
      <c r="F404" s="6" t="b">
        <f t="shared" si="100"/>
        <v>0</v>
      </c>
      <c r="G404" s="6">
        <f t="shared" si="101"/>
        <v>0</v>
      </c>
      <c r="H404" s="6" t="b">
        <f t="shared" si="102"/>
        <v>1</v>
      </c>
      <c r="I404" s="6">
        <f t="shared" si="103"/>
        <v>1</v>
      </c>
    </row>
    <row r="405" spans="1:13" ht="17.25" thickBot="1" x14ac:dyDescent="0.35">
      <c r="B405" s="4"/>
      <c r="C405" s="4"/>
      <c r="D405" s="4"/>
      <c r="E405" s="4" t="s">
        <v>873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784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727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728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729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737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546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732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730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3" ht="17.25" thickBot="1" x14ac:dyDescent="0.35">
      <c r="B414" s="4"/>
      <c r="C414" s="4"/>
      <c r="D414" s="4"/>
      <c r="E414" s="4" t="s">
        <v>733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8" t="s">
        <v>731</v>
      </c>
      <c r="F415" s="6" t="b">
        <f t="shared" si="100"/>
        <v>0</v>
      </c>
      <c r="G415" s="6">
        <f t="shared" si="101"/>
        <v>0</v>
      </c>
      <c r="H415" s="6" t="b">
        <f t="shared" si="102"/>
        <v>1</v>
      </c>
      <c r="I415" s="6">
        <f t="shared" si="103"/>
        <v>1</v>
      </c>
    </row>
    <row r="416" spans="1:13" ht="17.25" thickBot="1" x14ac:dyDescent="0.35">
      <c r="B416" s="5"/>
      <c r="C416" s="5"/>
      <c r="D416" s="5"/>
      <c r="E416" s="4" t="s">
        <v>785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735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734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736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732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474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838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725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839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874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537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840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8" t="s">
        <v>738</v>
      </c>
      <c r="F428" s="6" t="b">
        <f t="shared" si="100"/>
        <v>0</v>
      </c>
      <c r="G428" s="6">
        <f t="shared" si="101"/>
        <v>0</v>
      </c>
      <c r="H428" s="6" t="b">
        <f t="shared" si="102"/>
        <v>1</v>
      </c>
      <c r="I428" s="6">
        <f t="shared" si="103"/>
        <v>1</v>
      </c>
    </row>
    <row r="429" spans="2:10" ht="17.25" thickBot="1" x14ac:dyDescent="0.35">
      <c r="B429" s="4"/>
      <c r="C429" s="4" t="s">
        <v>287</v>
      </c>
      <c r="D429" s="4"/>
      <c r="E429" s="4" t="s">
        <v>739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726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539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741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8" t="s">
        <v>740</v>
      </c>
      <c r="F433" s="6" t="b">
        <f t="shared" si="100"/>
        <v>0</v>
      </c>
      <c r="G433" s="6">
        <f t="shared" si="101"/>
        <v>0</v>
      </c>
      <c r="H433" s="6" t="b">
        <f t="shared" si="102"/>
        <v>1</v>
      </c>
      <c r="I433" s="6">
        <f t="shared" si="103"/>
        <v>1</v>
      </c>
    </row>
    <row r="434" spans="2:10" ht="17.25" thickBot="1" x14ac:dyDescent="0.35">
      <c r="B434" s="4"/>
      <c r="C434" s="4"/>
      <c r="D434" s="4"/>
      <c r="E434" s="4" t="s">
        <v>734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742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471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743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744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745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841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538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746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747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842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843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786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748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844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750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749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540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9</v>
      </c>
      <c r="M451">
        <f>SUM(I402:I451)</f>
        <v>13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751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753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752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757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464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754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755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753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751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755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757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758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756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492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759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751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8" t="s">
        <v>755</v>
      </c>
      <c r="F469" s="6" t="b">
        <f t="shared" si="116"/>
        <v>0</v>
      </c>
      <c r="G469" s="6">
        <f t="shared" si="117"/>
        <v>0</v>
      </c>
      <c r="H469" s="6" t="b">
        <f t="shared" si="118"/>
        <v>1</v>
      </c>
      <c r="I469" s="6">
        <f t="shared" si="119"/>
        <v>1</v>
      </c>
    </row>
    <row r="470" spans="2:10" ht="17.25" thickBot="1" x14ac:dyDescent="0.35">
      <c r="B470" s="4"/>
      <c r="C470" s="4"/>
      <c r="D470" s="4"/>
      <c r="E470" s="4" t="s">
        <v>760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755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751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8" t="s">
        <v>753</v>
      </c>
      <c r="F474" s="6" t="b">
        <f t="shared" si="116"/>
        <v>0</v>
      </c>
      <c r="G474" s="6">
        <f t="shared" si="117"/>
        <v>0</v>
      </c>
      <c r="H474" s="6" t="b">
        <f t="shared" si="118"/>
        <v>1</v>
      </c>
      <c r="I474" s="6">
        <f t="shared" si="119"/>
        <v>1</v>
      </c>
    </row>
    <row r="475" spans="2:10" ht="17.25" thickBot="1" x14ac:dyDescent="0.35">
      <c r="B475" s="4"/>
      <c r="C475" s="4"/>
      <c r="D475" s="4"/>
      <c r="E475" s="4" t="s">
        <v>752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759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751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761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755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492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762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763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758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755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764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760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766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765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491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755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768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294</v>
      </c>
      <c r="D494" s="4" t="s">
        <v>411</v>
      </c>
      <c r="E494" s="8" t="s">
        <v>767</v>
      </c>
      <c r="F494" s="6" t="b">
        <f t="shared" si="116"/>
        <v>1</v>
      </c>
      <c r="G494" s="6">
        <f t="shared" si="117"/>
        <v>1</v>
      </c>
      <c r="H494" s="6" t="b">
        <f t="shared" si="118"/>
        <v>1</v>
      </c>
      <c r="I494" s="6">
        <f t="shared" si="119"/>
        <v>1</v>
      </c>
    </row>
    <row r="495" spans="2:10" ht="17.25" thickBot="1" x14ac:dyDescent="0.35">
      <c r="B495" s="4"/>
      <c r="C495" s="4" t="s">
        <v>295</v>
      </c>
      <c r="E495" s="4" t="s">
        <v>762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475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759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751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761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755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491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16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159</v>
      </c>
      <c r="K503">
        <f>J502/100</f>
        <v>0</v>
      </c>
    </row>
    <row r="504" spans="2:13" x14ac:dyDescent="0.3">
      <c r="G504">
        <f>I503/G503%</f>
        <v>77.560975609756099</v>
      </c>
      <c r="I504" s="13"/>
      <c r="J504">
        <f>SUM(J2:J501)</f>
        <v>96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2025-07-15T06:22:54Z</dcterms:modified>
</cp:coreProperties>
</file>