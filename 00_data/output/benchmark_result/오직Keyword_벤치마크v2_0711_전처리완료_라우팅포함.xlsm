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48340FA5-ABFF-4435-BF3D-78F660FAE7AA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J11" i="1"/>
  <c r="J71" i="1"/>
  <c r="J131" i="1"/>
  <c r="J191" i="1"/>
  <c r="J251" i="1"/>
  <c r="J311" i="1"/>
  <c r="J371" i="1"/>
  <c r="J431" i="1"/>
  <c r="J491" i="1"/>
  <c r="J51" i="1"/>
  <c r="J351" i="1"/>
  <c r="J176" i="1"/>
  <c r="J416" i="1"/>
  <c r="J121" i="1"/>
  <c r="J361" i="1"/>
  <c r="J126" i="1"/>
  <c r="J366" i="1"/>
  <c r="J16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J466" i="1"/>
  <c r="J171" i="1"/>
  <c r="J291" i="1"/>
  <c r="J56" i="1"/>
  <c r="J356" i="1"/>
  <c r="J181" i="1"/>
  <c r="J421" i="1"/>
  <c r="J186" i="1"/>
  <c r="J426" i="1"/>
  <c r="J261" i="1"/>
  <c r="J411" i="1"/>
  <c r="J236" i="1"/>
  <c r="J476" i="1"/>
  <c r="J241" i="1"/>
  <c r="J481" i="1"/>
  <c r="J246" i="1"/>
  <c r="J486" i="1"/>
  <c r="J31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101" i="1"/>
  <c r="J161" i="1"/>
  <c r="J221" i="1"/>
  <c r="J281" i="1"/>
  <c r="J341" i="1"/>
  <c r="J401" i="1"/>
  <c r="J461" i="1"/>
  <c r="J46" i="1"/>
  <c r="J106" i="1"/>
  <c r="J166" i="1"/>
  <c r="J226" i="1"/>
  <c r="J286" i="1"/>
  <c r="J346" i="1"/>
  <c r="J406" i="1"/>
  <c r="J111" i="1"/>
  <c r="J231" i="1"/>
  <c r="J471" i="1"/>
  <c r="J116" i="1"/>
  <c r="J296" i="1"/>
  <c r="J61" i="1"/>
  <c r="J301" i="1"/>
  <c r="J66" i="1"/>
  <c r="J306" i="1"/>
  <c r="J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H437" i="1"/>
  <c r="H449" i="1"/>
  <c r="H461" i="1"/>
  <c r="H473" i="1"/>
  <c r="H485" i="1"/>
  <c r="H497" i="1"/>
  <c r="H18" i="1"/>
  <c r="H30" i="1"/>
  <c r="H42" i="1"/>
  <c r="H54" i="1"/>
  <c r="H66" i="1"/>
  <c r="H78" i="1"/>
  <c r="H90" i="1"/>
  <c r="H102" i="1"/>
  <c r="H114" i="1"/>
  <c r="H126" i="1"/>
  <c r="H138" i="1"/>
  <c r="H150" i="1"/>
  <c r="H162" i="1"/>
  <c r="H174" i="1"/>
  <c r="H186" i="1"/>
  <c r="H198" i="1"/>
  <c r="H210" i="1"/>
  <c r="H222" i="1"/>
  <c r="H234" i="1"/>
  <c r="H246" i="1"/>
  <c r="H258" i="1"/>
  <c r="H270" i="1"/>
  <c r="H282" i="1"/>
  <c r="H294" i="1"/>
  <c r="H306" i="1"/>
  <c r="H318" i="1"/>
  <c r="H330" i="1"/>
  <c r="H342" i="1"/>
  <c r="H354" i="1"/>
  <c r="H366" i="1"/>
  <c r="H378" i="1"/>
  <c r="H390" i="1"/>
  <c r="H402" i="1"/>
  <c r="H414" i="1"/>
  <c r="H426" i="1"/>
  <c r="H438" i="1"/>
  <c r="H450" i="1"/>
  <c r="H462" i="1"/>
  <c r="H474" i="1"/>
  <c r="H486" i="1"/>
  <c r="H498" i="1"/>
  <c r="H7" i="1"/>
  <c r="H19" i="1"/>
  <c r="H31" i="1"/>
  <c r="H43" i="1"/>
  <c r="H55" i="1"/>
  <c r="H67" i="1"/>
  <c r="H79" i="1"/>
  <c r="H91" i="1"/>
  <c r="H103" i="1"/>
  <c r="H115" i="1"/>
  <c r="H127" i="1"/>
  <c r="H139" i="1"/>
  <c r="H151" i="1"/>
  <c r="H163" i="1"/>
  <c r="H175" i="1"/>
  <c r="H187" i="1"/>
  <c r="H199" i="1"/>
  <c r="H211" i="1"/>
  <c r="H223" i="1"/>
  <c r="H235" i="1"/>
  <c r="H247" i="1"/>
  <c r="H259" i="1"/>
  <c r="H271" i="1"/>
  <c r="H283" i="1"/>
  <c r="H295" i="1"/>
  <c r="H307" i="1"/>
  <c r="H319" i="1"/>
  <c r="H331" i="1"/>
  <c r="H343" i="1"/>
  <c r="H355" i="1"/>
  <c r="H367" i="1"/>
  <c r="H379" i="1"/>
  <c r="H391" i="1"/>
  <c r="H403" i="1"/>
  <c r="H415" i="1"/>
  <c r="H427" i="1"/>
  <c r="H439" i="1"/>
  <c r="H451" i="1"/>
  <c r="H463" i="1"/>
  <c r="H475" i="1"/>
  <c r="H487" i="1"/>
  <c r="H499" i="1"/>
  <c r="H8" i="1"/>
  <c r="H20" i="1"/>
  <c r="H6" i="1"/>
  <c r="H9" i="1"/>
  <c r="H25" i="1"/>
  <c r="H40" i="1"/>
  <c r="H58" i="1"/>
  <c r="H73" i="1"/>
  <c r="H88" i="1"/>
  <c r="H106" i="1"/>
  <c r="H121" i="1"/>
  <c r="H136" i="1"/>
  <c r="H154" i="1"/>
  <c r="H169" i="1"/>
  <c r="H184" i="1"/>
  <c r="H202" i="1"/>
  <c r="H217" i="1"/>
  <c r="H232" i="1"/>
  <c r="H250" i="1"/>
  <c r="H265" i="1"/>
  <c r="H280" i="1"/>
  <c r="H298" i="1"/>
  <c r="H313" i="1"/>
  <c r="H328" i="1"/>
  <c r="H346" i="1"/>
  <c r="H361" i="1"/>
  <c r="H376" i="1"/>
  <c r="H394" i="1"/>
  <c r="H409" i="1"/>
  <c r="H424" i="1"/>
  <c r="H442" i="1"/>
  <c r="H457" i="1"/>
  <c r="H472" i="1"/>
  <c r="H490" i="1"/>
  <c r="H10" i="1"/>
  <c r="H26" i="1"/>
  <c r="H44" i="1"/>
  <c r="H59" i="1"/>
  <c r="H74" i="1"/>
  <c r="H92" i="1"/>
  <c r="H107" i="1"/>
  <c r="H122" i="1"/>
  <c r="H140" i="1"/>
  <c r="H155" i="1"/>
  <c r="H170" i="1"/>
  <c r="H188" i="1"/>
  <c r="H203" i="1"/>
  <c r="H218" i="1"/>
  <c r="H236" i="1"/>
  <c r="H251" i="1"/>
  <c r="H266" i="1"/>
  <c r="H284" i="1"/>
  <c r="H299" i="1"/>
  <c r="H314" i="1"/>
  <c r="H332" i="1"/>
  <c r="H347" i="1"/>
  <c r="H362" i="1"/>
  <c r="H380" i="1"/>
  <c r="H395" i="1"/>
  <c r="H410" i="1"/>
  <c r="H428" i="1"/>
  <c r="H443" i="1"/>
  <c r="H458" i="1"/>
  <c r="H476" i="1"/>
  <c r="H491" i="1"/>
  <c r="H205" i="1"/>
  <c r="H253" i="1"/>
  <c r="H301" i="1"/>
  <c r="H349" i="1"/>
  <c r="H382" i="1"/>
  <c r="H412" i="1"/>
  <c r="H445" i="1"/>
  <c r="H478" i="1"/>
  <c r="H13" i="1"/>
  <c r="H128" i="1"/>
  <c r="H176" i="1"/>
  <c r="H224" i="1"/>
  <c r="H254" i="1"/>
  <c r="H287" i="1"/>
  <c r="H320" i="1"/>
  <c r="H350" i="1"/>
  <c r="H383" i="1"/>
  <c r="H416" i="1"/>
  <c r="H446" i="1"/>
  <c r="H479" i="1"/>
  <c r="H14" i="1"/>
  <c r="H48" i="1"/>
  <c r="H63" i="1"/>
  <c r="H81" i="1"/>
  <c r="H111" i="1"/>
  <c r="H144" i="1"/>
  <c r="H177" i="1"/>
  <c r="H207" i="1"/>
  <c r="H240" i="1"/>
  <c r="H273" i="1"/>
  <c r="H303" i="1"/>
  <c r="H336" i="1"/>
  <c r="H369" i="1"/>
  <c r="H399" i="1"/>
  <c r="H432" i="1"/>
  <c r="H465" i="1"/>
  <c r="H495" i="1"/>
  <c r="H34" i="1"/>
  <c r="H64" i="1"/>
  <c r="H97" i="1"/>
  <c r="H130" i="1"/>
  <c r="H160" i="1"/>
  <c r="H193" i="1"/>
  <c r="H226" i="1"/>
  <c r="H256" i="1"/>
  <c r="H289" i="1"/>
  <c r="H322" i="1"/>
  <c r="H352" i="1"/>
  <c r="H385" i="1"/>
  <c r="H418" i="1"/>
  <c r="H448" i="1"/>
  <c r="H481" i="1"/>
  <c r="H16" i="1"/>
  <c r="H50" i="1"/>
  <c r="H83" i="1"/>
  <c r="H116" i="1"/>
  <c r="H146" i="1"/>
  <c r="H179" i="1"/>
  <c r="H212" i="1"/>
  <c r="H242" i="1"/>
  <c r="H275" i="1"/>
  <c r="H308" i="1"/>
  <c r="H338" i="1"/>
  <c r="H371" i="1"/>
  <c r="H404" i="1"/>
  <c r="H434" i="1"/>
  <c r="H467" i="1"/>
  <c r="H500" i="1"/>
  <c r="H36" i="1"/>
  <c r="H51" i="1"/>
  <c r="H84" i="1"/>
  <c r="H117" i="1"/>
  <c r="H147" i="1"/>
  <c r="H180" i="1"/>
  <c r="H213" i="1"/>
  <c r="H243" i="1"/>
  <c r="H276" i="1"/>
  <c r="H291" i="1"/>
  <c r="H309" i="1"/>
  <c r="H324" i="1"/>
  <c r="H339" i="1"/>
  <c r="H372" i="1"/>
  <c r="H387" i="1"/>
  <c r="H420" i="1"/>
  <c r="H11" i="1"/>
  <c r="H27" i="1"/>
  <c r="H45" i="1"/>
  <c r="H60" i="1"/>
  <c r="H75" i="1"/>
  <c r="H93" i="1"/>
  <c r="H108" i="1"/>
  <c r="H123" i="1"/>
  <c r="H141" i="1"/>
  <c r="H156" i="1"/>
  <c r="H171" i="1"/>
  <c r="H189" i="1"/>
  <c r="H204" i="1"/>
  <c r="H219" i="1"/>
  <c r="H237" i="1"/>
  <c r="H252" i="1"/>
  <c r="H267" i="1"/>
  <c r="H285" i="1"/>
  <c r="H300" i="1"/>
  <c r="H315" i="1"/>
  <c r="H333" i="1"/>
  <c r="H348" i="1"/>
  <c r="H363" i="1"/>
  <c r="H381" i="1"/>
  <c r="H396" i="1"/>
  <c r="H411" i="1"/>
  <c r="H429" i="1"/>
  <c r="H444" i="1"/>
  <c r="H459" i="1"/>
  <c r="H477" i="1"/>
  <c r="H492" i="1"/>
  <c r="H12" i="1"/>
  <c r="H28" i="1"/>
  <c r="H46" i="1"/>
  <c r="H61" i="1"/>
  <c r="H76" i="1"/>
  <c r="H94" i="1"/>
  <c r="H109" i="1"/>
  <c r="H124" i="1"/>
  <c r="H142" i="1"/>
  <c r="H157" i="1"/>
  <c r="H172" i="1"/>
  <c r="H190" i="1"/>
  <c r="H220" i="1"/>
  <c r="H238" i="1"/>
  <c r="H268" i="1"/>
  <c r="H286" i="1"/>
  <c r="H316" i="1"/>
  <c r="H334" i="1"/>
  <c r="H364" i="1"/>
  <c r="H397" i="1"/>
  <c r="H430" i="1"/>
  <c r="H460" i="1"/>
  <c r="H493" i="1"/>
  <c r="H32" i="1"/>
  <c r="H47" i="1"/>
  <c r="H62" i="1"/>
  <c r="H80" i="1"/>
  <c r="H95" i="1"/>
  <c r="H110" i="1"/>
  <c r="H143" i="1"/>
  <c r="H158" i="1"/>
  <c r="H191" i="1"/>
  <c r="H206" i="1"/>
  <c r="H239" i="1"/>
  <c r="H272" i="1"/>
  <c r="H302" i="1"/>
  <c r="H335" i="1"/>
  <c r="H368" i="1"/>
  <c r="H398" i="1"/>
  <c r="H431" i="1"/>
  <c r="H464" i="1"/>
  <c r="H494" i="1"/>
  <c r="H33" i="1"/>
  <c r="H96" i="1"/>
  <c r="H129" i="1"/>
  <c r="H159" i="1"/>
  <c r="H192" i="1"/>
  <c r="H225" i="1"/>
  <c r="H255" i="1"/>
  <c r="H288" i="1"/>
  <c r="H321" i="1"/>
  <c r="H351" i="1"/>
  <c r="H384" i="1"/>
  <c r="H417" i="1"/>
  <c r="H447" i="1"/>
  <c r="H480" i="1"/>
  <c r="H15" i="1"/>
  <c r="H49" i="1"/>
  <c r="H82" i="1"/>
  <c r="H112" i="1"/>
  <c r="H145" i="1"/>
  <c r="H178" i="1"/>
  <c r="H208" i="1"/>
  <c r="H241" i="1"/>
  <c r="H274" i="1"/>
  <c r="H304" i="1"/>
  <c r="H337" i="1"/>
  <c r="H370" i="1"/>
  <c r="H400" i="1"/>
  <c r="H433" i="1"/>
  <c r="H466" i="1"/>
  <c r="H496" i="1"/>
  <c r="H35" i="1"/>
  <c r="H68" i="1"/>
  <c r="H98" i="1"/>
  <c r="H131" i="1"/>
  <c r="H164" i="1"/>
  <c r="H194" i="1"/>
  <c r="H227" i="1"/>
  <c r="H260" i="1"/>
  <c r="H290" i="1"/>
  <c r="H323" i="1"/>
  <c r="H356" i="1"/>
  <c r="H386" i="1"/>
  <c r="H419" i="1"/>
  <c r="H452" i="1"/>
  <c r="H482" i="1"/>
  <c r="H21" i="1"/>
  <c r="H69" i="1"/>
  <c r="H99" i="1"/>
  <c r="H132" i="1"/>
  <c r="H165" i="1"/>
  <c r="H195" i="1"/>
  <c r="H228" i="1"/>
  <c r="H261" i="1"/>
  <c r="H357" i="1"/>
  <c r="H3" i="1"/>
  <c r="H71" i="1"/>
  <c r="H134" i="1"/>
  <c r="H200" i="1"/>
  <c r="H263" i="1"/>
  <c r="H326" i="1"/>
  <c r="H392" i="1"/>
  <c r="H441" i="1"/>
  <c r="H489" i="1"/>
  <c r="H4" i="1"/>
  <c r="H72" i="1"/>
  <c r="H135" i="1"/>
  <c r="H201" i="1"/>
  <c r="H264" i="1"/>
  <c r="H327" i="1"/>
  <c r="H393" i="1"/>
  <c r="H453" i="1"/>
  <c r="H501" i="1"/>
  <c r="H423" i="1"/>
  <c r="H311" i="1"/>
  <c r="H249" i="1"/>
  <c r="H133" i="1"/>
  <c r="H22" i="1"/>
  <c r="H85" i="1"/>
  <c r="H148" i="1"/>
  <c r="H214" i="1"/>
  <c r="H277" i="1"/>
  <c r="H340" i="1"/>
  <c r="H405" i="1"/>
  <c r="H454" i="1"/>
  <c r="H23" i="1"/>
  <c r="H86" i="1"/>
  <c r="H152" i="1"/>
  <c r="H215" i="1"/>
  <c r="H278" i="1"/>
  <c r="H344" i="1"/>
  <c r="H406" i="1"/>
  <c r="H455" i="1"/>
  <c r="H24" i="1"/>
  <c r="H87" i="1"/>
  <c r="H153" i="1"/>
  <c r="H216" i="1"/>
  <c r="H279" i="1"/>
  <c r="H345" i="1"/>
  <c r="H407" i="1"/>
  <c r="H456" i="1"/>
  <c r="H37" i="1"/>
  <c r="H100" i="1"/>
  <c r="H166" i="1"/>
  <c r="H229" i="1"/>
  <c r="H292" i="1"/>
  <c r="H358" i="1"/>
  <c r="H408" i="1"/>
  <c r="H468" i="1"/>
  <c r="H38" i="1"/>
  <c r="H104" i="1"/>
  <c r="H167" i="1"/>
  <c r="H230" i="1"/>
  <c r="H296" i="1"/>
  <c r="H359" i="1"/>
  <c r="H421" i="1"/>
  <c r="H469" i="1"/>
  <c r="H39" i="1"/>
  <c r="H105" i="1"/>
  <c r="H168" i="1"/>
  <c r="H231" i="1"/>
  <c r="H297" i="1"/>
  <c r="H360" i="1"/>
  <c r="H422" i="1"/>
  <c r="H470" i="1"/>
  <c r="H52" i="1"/>
  <c r="H118" i="1"/>
  <c r="H181" i="1"/>
  <c r="H244" i="1"/>
  <c r="H310" i="1"/>
  <c r="H373" i="1"/>
  <c r="H471" i="1"/>
  <c r="H56" i="1"/>
  <c r="H119" i="1"/>
  <c r="H182" i="1"/>
  <c r="H248" i="1"/>
  <c r="H374" i="1"/>
  <c r="H435" i="1"/>
  <c r="H483" i="1"/>
  <c r="H57" i="1"/>
  <c r="H120" i="1"/>
  <c r="H183" i="1"/>
  <c r="H312" i="1"/>
  <c r="H375" i="1"/>
  <c r="H436" i="1"/>
  <c r="H484" i="1"/>
  <c r="H70" i="1"/>
  <c r="H196" i="1"/>
  <c r="H262" i="1"/>
  <c r="H325" i="1"/>
  <c r="H388" i="1"/>
  <c r="H440" i="1"/>
  <c r="H488" i="1"/>
  <c r="H2" i="1"/>
  <c r="I218" i="1" l="1"/>
  <c r="I120" i="1"/>
  <c r="I275" i="1"/>
  <c r="I426" i="1"/>
  <c r="I319" i="1"/>
  <c r="I495" i="1"/>
  <c r="I169" i="1"/>
  <c r="I455" i="1"/>
  <c r="I251" i="1"/>
  <c r="I354" i="1"/>
  <c r="I295" i="1"/>
  <c r="I333" i="1"/>
  <c r="I469" i="1"/>
  <c r="I33" i="1"/>
  <c r="I328" i="1"/>
  <c r="I458" i="1"/>
  <c r="I373" i="1"/>
  <c r="I9" i="1"/>
  <c r="I280" i="1"/>
  <c r="I410" i="1"/>
  <c r="I349" i="1"/>
  <c r="I452" i="1"/>
  <c r="I268" i="1"/>
  <c r="I363" i="1"/>
  <c r="I240" i="1"/>
  <c r="I46" i="1"/>
  <c r="I346" i="1"/>
  <c r="I281" i="1"/>
  <c r="I246" i="1"/>
  <c r="I147" i="1"/>
  <c r="I192" i="1"/>
  <c r="I501" i="1"/>
  <c r="I202" i="1"/>
  <c r="I257" i="1"/>
  <c r="I222" i="1"/>
  <c r="I26" i="1"/>
  <c r="I372" i="1"/>
  <c r="I20" i="1"/>
  <c r="I392" i="1"/>
  <c r="I123" i="1"/>
  <c r="I385" i="1"/>
  <c r="I348" i="1"/>
  <c r="I106" i="1"/>
  <c r="I487" i="1"/>
  <c r="I137" i="1"/>
  <c r="I368" i="1"/>
  <c r="I30" i="1"/>
  <c r="I75" i="1"/>
  <c r="I262" i="1"/>
  <c r="I337" i="1"/>
  <c r="I165" i="1"/>
  <c r="I252" i="1"/>
  <c r="I82" i="1"/>
  <c r="I463" i="1"/>
  <c r="I101" i="1"/>
  <c r="I344" i="1"/>
  <c r="I6" i="1"/>
  <c r="I15" i="1"/>
  <c r="I434" i="1"/>
  <c r="I214" i="1"/>
  <c r="I216" i="1"/>
  <c r="I117" i="1"/>
  <c r="I228" i="1"/>
  <c r="I58" i="1"/>
  <c r="I355" i="1"/>
  <c r="I89" i="1"/>
  <c r="I320" i="1"/>
  <c r="I461" i="1"/>
  <c r="I3" i="1"/>
  <c r="I429" i="1"/>
  <c r="I158" i="1"/>
  <c r="I153" i="1"/>
  <c r="I400" i="1"/>
  <c r="I381" i="1"/>
  <c r="I493" i="1"/>
  <c r="I129" i="1"/>
  <c r="I340" i="1"/>
  <c r="I483" i="1"/>
  <c r="I49" i="1"/>
  <c r="I407" i="1"/>
  <c r="I227" i="1"/>
  <c r="I330" i="1"/>
  <c r="I151" i="1"/>
  <c r="I471" i="1"/>
  <c r="I456" i="1"/>
  <c r="I215" i="1"/>
  <c r="I203" i="1"/>
  <c r="I306" i="1"/>
  <c r="I127" i="1"/>
  <c r="I411" i="1"/>
  <c r="I408" i="1"/>
  <c r="I167" i="1"/>
  <c r="I179" i="1"/>
  <c r="I210" i="1"/>
  <c r="I103" i="1"/>
  <c r="I386" i="1"/>
  <c r="I468" i="1"/>
  <c r="I68" i="1"/>
  <c r="I488" i="1"/>
  <c r="I98" i="1"/>
  <c r="I444" i="1"/>
  <c r="I44" i="1"/>
  <c r="I416" i="1"/>
  <c r="I135" i="1"/>
  <c r="I479" i="1"/>
  <c r="I261" i="1"/>
  <c r="I178" i="1"/>
  <c r="I185" i="1"/>
  <c r="I198" i="1"/>
  <c r="I478" i="1"/>
  <c r="I213" i="1"/>
  <c r="I362" i="1"/>
  <c r="I477" i="1"/>
  <c r="I168" i="1"/>
  <c r="I182" i="1"/>
  <c r="I395" i="1"/>
  <c r="I225" i="1"/>
  <c r="I450" i="1"/>
  <c r="I412" i="1"/>
  <c r="I403" i="1"/>
  <c r="I16" i="1"/>
  <c r="I93" i="1"/>
  <c r="I325" i="1"/>
  <c r="I156" i="1"/>
  <c r="I83" i="1"/>
  <c r="I34" i="1"/>
  <c r="I380" i="1"/>
  <c r="I283" i="1"/>
  <c r="I186" i="1"/>
  <c r="I77" i="1"/>
  <c r="I184" i="1"/>
  <c r="I152" i="1"/>
  <c r="I79" i="1"/>
  <c r="I449" i="1"/>
  <c r="I327" i="1"/>
  <c r="I170" i="1"/>
  <c r="I431" i="1"/>
  <c r="I285" i="1"/>
  <c r="I289" i="1"/>
  <c r="I23" i="1"/>
  <c r="I470" i="1"/>
  <c r="I301" i="1"/>
  <c r="I84" i="1"/>
  <c r="I11" i="1"/>
  <c r="I10" i="1"/>
  <c r="I356" i="1"/>
  <c r="I211" i="1"/>
  <c r="I90" i="1"/>
  <c r="I65" i="1"/>
  <c r="I172" i="1"/>
  <c r="I128" i="1"/>
  <c r="I55" i="1"/>
  <c r="I437" i="1"/>
  <c r="I315" i="1"/>
  <c r="I122" i="1"/>
  <c r="I287" i="1"/>
  <c r="I45" i="1"/>
  <c r="I241" i="1"/>
  <c r="I382" i="1"/>
  <c r="I350" i="1"/>
  <c r="I277" i="1"/>
  <c r="I60" i="1"/>
  <c r="I442" i="1"/>
  <c r="I369" i="1"/>
  <c r="I332" i="1"/>
  <c r="I187" i="1"/>
  <c r="I66" i="1"/>
  <c r="I53" i="1"/>
  <c r="I160" i="1"/>
  <c r="I56" i="1"/>
  <c r="I462" i="1"/>
  <c r="I365" i="1"/>
  <c r="I303" i="1"/>
  <c r="I74" i="1"/>
  <c r="I143" i="1"/>
  <c r="I254" i="1"/>
  <c r="I193" i="1"/>
  <c r="I334" i="1"/>
  <c r="I278" i="1"/>
  <c r="I109" i="1"/>
  <c r="I36" i="1"/>
  <c r="I418" i="1"/>
  <c r="I345" i="1"/>
  <c r="I308" i="1"/>
  <c r="I163" i="1"/>
  <c r="I353" i="1"/>
  <c r="I472" i="1"/>
  <c r="I136" i="1"/>
  <c r="I32" i="1"/>
  <c r="I366" i="1"/>
  <c r="I341" i="1"/>
  <c r="I291" i="1"/>
  <c r="I50" i="1"/>
  <c r="I95" i="1"/>
  <c r="I205" i="1"/>
  <c r="I384" i="1"/>
  <c r="I286" i="1"/>
  <c r="I230" i="1"/>
  <c r="I85" i="1"/>
  <c r="I12" i="1"/>
  <c r="I394" i="1"/>
  <c r="I273" i="1"/>
  <c r="I212" i="1"/>
  <c r="I139" i="1"/>
  <c r="I329" i="1"/>
  <c r="I460" i="1"/>
  <c r="I124" i="1"/>
  <c r="I8" i="1"/>
  <c r="I294" i="1"/>
  <c r="I245" i="1"/>
  <c r="I195" i="1"/>
  <c r="I217" i="1"/>
  <c r="I47" i="1"/>
  <c r="I13" i="1"/>
  <c r="I336" i="1"/>
  <c r="I238" i="1"/>
  <c r="I206" i="1"/>
  <c r="I492" i="1"/>
  <c r="I419" i="1"/>
  <c r="I370" i="1"/>
  <c r="I249" i="1"/>
  <c r="I188" i="1"/>
  <c r="I115" i="1"/>
  <c r="I305" i="1"/>
  <c r="I424" i="1"/>
  <c r="I52" i="1"/>
  <c r="I427" i="1"/>
  <c r="I270" i="1"/>
  <c r="I197" i="1"/>
  <c r="I183" i="1"/>
  <c r="I459" i="1"/>
  <c r="I279" i="1"/>
  <c r="I63" i="1"/>
  <c r="I361" i="1"/>
  <c r="I144" i="1"/>
  <c r="I406" i="1"/>
  <c r="I237" i="1"/>
  <c r="I338" i="1"/>
  <c r="I25" i="1"/>
  <c r="I359" i="1"/>
  <c r="I190" i="1"/>
  <c r="I69" i="1"/>
  <c r="I134" i="1"/>
  <c r="I181" i="1"/>
  <c r="I324" i="1"/>
  <c r="I491" i="1"/>
  <c r="I155" i="1"/>
  <c r="I322" i="1"/>
  <c r="I441" i="1"/>
  <c r="I105" i="1"/>
  <c r="I284" i="1"/>
  <c r="I439" i="1"/>
  <c r="I91" i="1"/>
  <c r="I162" i="1"/>
  <c r="I233" i="1"/>
  <c r="I41" i="1"/>
  <c r="I316" i="1"/>
  <c r="I112" i="1"/>
  <c r="I296" i="1"/>
  <c r="I379" i="1"/>
  <c r="I31" i="1"/>
  <c r="I174" i="1"/>
  <c r="I317" i="1"/>
  <c r="I447" i="1"/>
  <c r="I267" i="1"/>
  <c r="I51" i="1"/>
  <c r="I313" i="1"/>
  <c r="I96" i="1"/>
  <c r="I358" i="1"/>
  <c r="I189" i="1"/>
  <c r="I290" i="1"/>
  <c r="I480" i="1"/>
  <c r="I311" i="1"/>
  <c r="I142" i="1"/>
  <c r="I21" i="1"/>
  <c r="I110" i="1"/>
  <c r="I157" i="1"/>
  <c r="I300" i="1"/>
  <c r="I467" i="1"/>
  <c r="I131" i="1"/>
  <c r="I298" i="1"/>
  <c r="I417" i="1"/>
  <c r="I81" i="1"/>
  <c r="I260" i="1"/>
  <c r="I415" i="1"/>
  <c r="I498" i="1"/>
  <c r="I138" i="1"/>
  <c r="I221" i="1"/>
  <c r="I496" i="1"/>
  <c r="I304" i="1"/>
  <c r="I100" i="1"/>
  <c r="I200" i="1"/>
  <c r="I367" i="1"/>
  <c r="I7" i="1"/>
  <c r="I78" i="1"/>
  <c r="I293" i="1"/>
  <c r="I435" i="1"/>
  <c r="I219" i="1"/>
  <c r="I39" i="1"/>
  <c r="I482" i="1"/>
  <c r="I265" i="1"/>
  <c r="I48" i="1"/>
  <c r="I310" i="1"/>
  <c r="I141" i="1"/>
  <c r="I146" i="1"/>
  <c r="I432" i="1"/>
  <c r="I263" i="1"/>
  <c r="I94" i="1"/>
  <c r="I494" i="1"/>
  <c r="I14" i="1"/>
  <c r="I133" i="1"/>
  <c r="I276" i="1"/>
  <c r="I443" i="1"/>
  <c r="I107" i="1"/>
  <c r="I226" i="1"/>
  <c r="I393" i="1"/>
  <c r="I57" i="1"/>
  <c r="I236" i="1"/>
  <c r="I391" i="1"/>
  <c r="I474" i="1"/>
  <c r="I114" i="1"/>
  <c r="I209" i="1"/>
  <c r="I484" i="1"/>
  <c r="I292" i="1"/>
  <c r="I76" i="1"/>
  <c r="I176" i="1"/>
  <c r="I343" i="1"/>
  <c r="I486" i="1"/>
  <c r="I54" i="1"/>
  <c r="I269" i="1"/>
  <c r="I423" i="1"/>
  <c r="I207" i="1"/>
  <c r="I27" i="1"/>
  <c r="I288" i="1"/>
  <c r="I204" i="1"/>
  <c r="I490" i="1"/>
  <c r="I321" i="1"/>
  <c r="I500" i="1"/>
  <c r="I164" i="1"/>
  <c r="I259" i="1"/>
  <c r="I402" i="1"/>
  <c r="I42" i="1"/>
  <c r="I125" i="1"/>
  <c r="I448" i="1"/>
  <c r="I256" i="1"/>
  <c r="I464" i="1"/>
  <c r="I104" i="1"/>
  <c r="I271" i="1"/>
  <c r="I342" i="1"/>
  <c r="I497" i="1"/>
  <c r="I364" i="1"/>
  <c r="I351" i="1"/>
  <c r="I171" i="1"/>
  <c r="I314" i="1"/>
  <c r="I121" i="1"/>
  <c r="I383" i="1"/>
  <c r="I166" i="1"/>
  <c r="I38" i="1"/>
  <c r="I481" i="1"/>
  <c r="I119" i="1"/>
  <c r="I453" i="1"/>
  <c r="I326" i="1"/>
  <c r="I445" i="1"/>
  <c r="I61" i="1"/>
  <c r="I371" i="1"/>
  <c r="I154" i="1"/>
  <c r="I266" i="1"/>
  <c r="I73" i="1"/>
  <c r="I335" i="1"/>
  <c r="I22" i="1"/>
  <c r="I421" i="1"/>
  <c r="I433" i="1"/>
  <c r="I264" i="1"/>
  <c r="I71" i="1"/>
  <c r="I309" i="1"/>
  <c r="I302" i="1"/>
  <c r="I397" i="1"/>
  <c r="I37" i="1"/>
  <c r="I180" i="1"/>
  <c r="I299" i="1"/>
  <c r="I466" i="1"/>
  <c r="I130" i="1"/>
  <c r="I297" i="1"/>
  <c r="I476" i="1"/>
  <c r="I92" i="1"/>
  <c r="I235" i="1"/>
  <c r="I378" i="1"/>
  <c r="I18" i="1"/>
  <c r="I113" i="1"/>
  <c r="I436" i="1"/>
  <c r="I244" i="1"/>
  <c r="I440" i="1"/>
  <c r="I80" i="1"/>
  <c r="I247" i="1"/>
  <c r="I318" i="1"/>
  <c r="I485" i="1"/>
  <c r="I232" i="1"/>
  <c r="I339" i="1"/>
  <c r="I159" i="1"/>
  <c r="I67" i="1"/>
  <c r="I282" i="1"/>
  <c r="I473" i="1"/>
  <c r="I173" i="1"/>
  <c r="I29" i="1"/>
  <c r="I388" i="1"/>
  <c r="I220" i="1"/>
  <c r="I40" i="1"/>
  <c r="I272" i="1"/>
  <c r="I499" i="1"/>
  <c r="I223" i="1"/>
  <c r="I438" i="1"/>
  <c r="I150" i="1"/>
  <c r="I413" i="1"/>
  <c r="I148" i="1"/>
  <c r="I399" i="1"/>
  <c r="I255" i="1"/>
  <c r="I111" i="1"/>
  <c r="I457" i="1"/>
  <c r="I360" i="1"/>
  <c r="I239" i="1"/>
  <c r="I118" i="1"/>
  <c r="I422" i="1"/>
  <c r="I242" i="1"/>
  <c r="I145" i="1"/>
  <c r="I72" i="1"/>
  <c r="I454" i="1"/>
  <c r="I405" i="1"/>
  <c r="I446" i="1"/>
  <c r="I86" i="1"/>
  <c r="I253" i="1"/>
  <c r="I420" i="1"/>
  <c r="I132" i="1"/>
  <c r="I347" i="1"/>
  <c r="I59" i="1"/>
  <c r="I274" i="1"/>
  <c r="I489" i="1"/>
  <c r="I201" i="1"/>
  <c r="I428" i="1"/>
  <c r="I140" i="1"/>
  <c r="I331" i="1"/>
  <c r="I43" i="1"/>
  <c r="I258" i="1"/>
  <c r="I425" i="1"/>
  <c r="I161" i="1"/>
  <c r="I17" i="1"/>
  <c r="I376" i="1"/>
  <c r="I208" i="1"/>
  <c r="I28" i="1"/>
  <c r="I248" i="1"/>
  <c r="I475" i="1"/>
  <c r="I199" i="1"/>
  <c r="I414" i="1"/>
  <c r="I126" i="1"/>
  <c r="I401" i="1"/>
  <c r="I88" i="1"/>
  <c r="I387" i="1"/>
  <c r="I243" i="1"/>
  <c r="I99" i="1"/>
  <c r="I2" i="1"/>
  <c r="I409" i="1"/>
  <c r="I312" i="1"/>
  <c r="I191" i="1"/>
  <c r="I70" i="1"/>
  <c r="I374" i="1"/>
  <c r="I194" i="1"/>
  <c r="I97" i="1"/>
  <c r="I24" i="1"/>
  <c r="I430" i="1"/>
  <c r="I357" i="1"/>
  <c r="I398" i="1"/>
  <c r="I62" i="1"/>
  <c r="I229" i="1"/>
  <c r="I396" i="1"/>
  <c r="I108" i="1"/>
  <c r="I323" i="1"/>
  <c r="I35" i="1"/>
  <c r="I250" i="1"/>
  <c r="I465" i="1"/>
  <c r="I177" i="1"/>
  <c r="I404" i="1"/>
  <c r="I116" i="1"/>
  <c r="I307" i="1"/>
  <c r="I19" i="1"/>
  <c r="I234" i="1"/>
  <c r="I389" i="1"/>
  <c r="I149" i="1"/>
  <c r="I5" i="1"/>
  <c r="I352" i="1"/>
  <c r="I196" i="1"/>
  <c r="I4" i="1"/>
  <c r="I224" i="1"/>
  <c r="I451" i="1"/>
  <c r="I175" i="1"/>
  <c r="I390" i="1"/>
  <c r="I102" i="1"/>
  <c r="I377" i="1"/>
  <c r="I64" i="1"/>
  <c r="I375" i="1"/>
  <c r="I231" i="1"/>
  <c r="I8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<sst xmlns="http://schemas.openxmlformats.org/spreadsheetml/2006/main" count="1045" uniqueCount="889">
  <si>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</si>
  <si>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</si>
  <si>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</si>
  <si>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</si>
  <si>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</si>
  <si>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</si>
  <si>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</si>
  <si>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</si>
  <si>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</si>
  <si>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</si>
  <si>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</si>
  <si>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</si>
  <si>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</si>
  <si>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</si>
  <si>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</si>
  <si>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</si>
  <si>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</si>
  <si>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</si>
  <si>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</si>
  <si>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</si>
  <si>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</si>
  <si>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</si>
  <si>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</si>
  <si>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</si>
  <si>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</si>
  <si>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</si>
  <si>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</si>
  <si>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</si>
  <si>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</si>
  <si>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</si>
  <si>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</si>
  <si>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</si>
  <si>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</si>
  <si>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</si>
  <si>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</si>
  <si>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</si>
  <si>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</si>
  <si>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</si>
  <si>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</si>
  <si>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</si>
  <si>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</si>
  <si>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</si>
  <si>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</si>
  <si>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</si>
  <si>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</si>
  <si>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</si>
  <si>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</si>
  <si>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</si>
  <si>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</si>
  <si>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</si>
  <si>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</si>
  <si>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</si>
  <si>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</si>
  <si>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</si>
  <si>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</si>
  <si>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</si>
  <si>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</si>
  <si>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</si>
  <si>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</si>
  <si>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</si>
  <si>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</si>
  <si>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</si>
  <si>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</si>
  <si>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</si>
  <si>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</si>
  <si>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</si>
  <si>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</si>
  <si>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</si>
  <si>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</si>
  <si>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</si>
  <si>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</si>
  <si>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</si>
  <si>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</si>
  <si>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</si>
  <si>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</si>
  <si>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</si>
  <si>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</si>
  <si>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</si>
  <si>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</si>
  <si>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</si>
  <si>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</si>
  <si>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</si>
  <si>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</si>
  <si>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</si>
  <si>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</si>
  <si>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</si>
  <si>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</si>
  <si>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</si>
  <si>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</si>
  <si>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</si>
  <si>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</si>
  <si>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</si>
  <si>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</si>
  <si>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</si>
  <si>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</si>
  <si>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</si>
  <si>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</si>
  <si>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</si>
  <si>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</si>
  <si>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</si>
  <si>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</si>
  <si>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</si>
  <si>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</si>
  <si>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</si>
  <si>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</si>
  <si>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</si>
  <si>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</si>
  <si>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</si>
  <si>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</si>
  <si>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</si>
  <si>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</si>
  <si>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</si>
  <si>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</si>
  <si>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</si>
  <si>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</si>
  <si>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</si>
  <si>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</si>
  <si>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</si>
  <si>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</si>
  <si>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</si>
  <si>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</si>
  <si>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</si>
  <si>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</si>
  <si>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</si>
  <si>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</si>
  <si>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</si>
  <si>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</si>
  <si>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</si>
  <si>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</si>
  <si>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</si>
  <si>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</si>
  <si>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</si>
  <si>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</si>
  <si>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</si>
  <si>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</si>
  <si>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</si>
  <si>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</si>
  <si>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</si>
  <si>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</si>
  <si>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</si>
  <si>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</si>
  <si>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</si>
  <si>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</si>
  <si>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</si>
  <si>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</si>
  <si>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</si>
  <si>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</si>
  <si>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</si>
  <si>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</si>
  <si>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</si>
  <si>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</si>
  <si>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</si>
  <si>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</si>
  <si>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</si>
  <si>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</si>
  <si>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</si>
  <si>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</si>
  <si>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</si>
  <si>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</si>
  <si>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</si>
  <si>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</si>
  <si>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</si>
  <si>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</si>
  <si>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</si>
  <si>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</si>
  <si>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</si>
  <si>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</si>
  <si>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</si>
  <si>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</si>
  <si>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</si>
  <si>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</si>
  <si>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</si>
  <si>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</si>
  <si>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</si>
  <si>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</si>
  <si>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</si>
  <si>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</si>
  <si>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</si>
  <si>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</si>
  <si>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</si>
  <si>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</si>
  <si>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</si>
  <si>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</si>
  <si>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</si>
  <si>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</si>
  <si>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</si>
  <si>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</si>
  <si>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</si>
  <si>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</si>
  <si>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</si>
  <si>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</si>
  <si>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</si>
  <si>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</si>
  <si>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</si>
  <si>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</si>
  <si>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</si>
  <si>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</si>
  <si>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</si>
  <si>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</si>
  <si>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</si>
  <si>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</si>
  <si>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</si>
  <si>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</si>
  <si>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</si>
  <si>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</si>
  <si>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</si>
  <si>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</si>
  <si>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</si>
  <si>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</si>
  <si>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</si>
  <si>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</si>
  <si>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</si>
  <si>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</si>
  <si>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</si>
  <si>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</si>
  <si>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</si>
  <si>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</si>
  <si>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</si>
  <si>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</si>
  <si>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</si>
  <si>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</si>
  <si>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</si>
  <si>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</si>
  <si>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</si>
  <si>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</si>
  <si>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</si>
  <si>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</si>
  <si>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</si>
  <si>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</si>
  <si>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</si>
  <si>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</si>
  <si>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</si>
  <si>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</si>
  <si>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</si>
  <si>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</si>
  <si>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</si>
  <si>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</si>
  <si>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</si>
  <si>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</si>
  <si>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</si>
  <si>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</si>
  <si>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</si>
  <si>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</si>
  <si>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</si>
  <si>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</si>
  <si>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</si>
  <si>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</si>
  <si>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</si>
  <si>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</si>
  <si>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</si>
  <si>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</si>
  <si>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</si>
  <si>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</si>
  <si>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</si>
  <si>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</si>
  <si>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</si>
  <si>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</si>
  <si>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</si>
  <si>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</si>
  <si>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</si>
  <si>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</si>
  <si>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</si>
  <si>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</si>
  <si>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</si>
  <si>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</si>
  <si>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</si>
  <si>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</si>
  <si>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</si>
  <si>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</si>
  <si>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</si>
  <si>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</si>
  <si>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</si>
  <si>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</si>
  <si>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</si>
  <si>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</si>
  <si>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</si>
  <si>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</si>
  <si>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</si>
  <si>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</si>
  <si>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</si>
  <si>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</si>
  <si>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</si>
  <si>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</si>
  <si>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</si>
  <si>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</si>
  <si>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</si>
  <si>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</si>
  <si>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</si>
  <si>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</si>
  <si>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</si>
  <si>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</si>
  <si>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</si>
  <si>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</si>
  <si>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</si>
  <si>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</si>
  <si>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</si>
  <si>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</si>
  <si>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</si>
  <si>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</si>
  <si>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</si>
  <si>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</si>
  <si>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</si>
  <si>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</si>
  <si>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</si>
  <si>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</si>
  <si>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</si>
  <si>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</si>
  <si>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</si>
  <si>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</si>
  <si>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</si>
  <si>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</si>
  <si>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</si>
  <si>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</si>
  <si>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</si>
  <si>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</si>
  <si>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</si>
  <si>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</si>
  <si>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</si>
  <si>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</si>
  <si>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</si>
  <si>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</si>
  <si>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</si>
  <si>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</si>
  <si>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</si>
  <si>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</si>
  <si>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</si>
  <si>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</si>
  <si>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</si>
  <si>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</si>
  <si>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</si>
  <si>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</si>
  <si>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</si>
  <si>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</si>
  <si>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</si>
  <si>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</si>
  <si>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</si>
  <si>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</si>
  <si>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</si>
  <si>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</si>
  <si>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</si>
  <si>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</si>
  <si>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</si>
  <si>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</si>
  <si>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</si>
  <si>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</si>
  <si>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</si>
  <si>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</si>
  <si>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</si>
  <si>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</si>
  <si>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</si>
  <si>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</si>
  <si>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</si>
  <si>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</si>
  <si>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</si>
  <si>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</si>
  <si>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</si>
  <si>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</si>
  <si>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</si>
  <si>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</si>
  <si>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</si>
  <si>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</si>
  <si>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</si>
  <si>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</si>
  <si>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</si>
  <si>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</si>
  <si>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</si>
  <si>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</si>
  <si>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</si>
  <si>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</si>
  <si>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</si>
  <si>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</si>
  <si>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</si>
  <si>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</si>
  <si>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</si>
  <si>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</si>
  <si>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</si>
  <si>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</si>
  <si>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</si>
  <si>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</si>
  <si>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</si>
  <si>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</si>
  <si>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</si>
  <si>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</si>
  <si>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</si>
  <si>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</si>
  <si>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</si>
  <si>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</si>
  <si>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</si>
  <si>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</si>
  <si>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</si>
  <si>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</si>
  <si>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</si>
  <si>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</si>
  <si>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</si>
  <si>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</si>
  <si>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</si>
  <si>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</si>
  <si>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</si>
  <si>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</si>
  <si>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</si>
  <si>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</si>
  <si>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</si>
  <si>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</si>
  <si>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</si>
  <si>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</si>
  <si>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</si>
  <si>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</si>
  <si>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</si>
  <si>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</si>
  <si>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</si>
  <si>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</si>
  <si>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</si>
  <si>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</si>
  <si>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</si>
  <si>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</si>
  <si>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</si>
  <si>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</si>
  <si>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</si>
  <si>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</si>
  <si>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</si>
  <si>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</si>
  <si>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</si>
  <si>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</si>
  <si>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</si>
  <si>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</si>
  <si>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</si>
  <si>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</si>
  <si>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</si>
  <si>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</si>
  <si>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</si>
  <si>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</si>
  <si>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</si>
  <si>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</si>
  <si>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</si>
  <si>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</si>
  <si>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</si>
  <si>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</si>
  <si>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</si>
  <si>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</si>
  <si>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</si>
  <si>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</si>
  <si>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</si>
  <si>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</si>
  <si>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</si>
  <si>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</si>
  <si>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</si>
  <si>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</si>
  <si>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</si>
  <si>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</si>
  <si>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</si>
  <si>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</si>
  <si>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</si>
  <si>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</si>
  <si>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</si>
  <si>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</si>
  <si>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</si>
  <si>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</si>
  <si>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</si>
  <si>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</si>
  <si>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</si>
  <si>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</si>
  <si>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</si>
  <si>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</si>
  <si>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</si>
  <si>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제6조(사업)</t>
  </si>
  <si>
    <t xml:space="preserve"> </t>
    <phoneticPr fontId="2" type="noConversion"/>
  </si>
  <si>
    <t>농약관리법(법률) 제3조의2(영업의 신고)</t>
  </si>
  <si>
    <t>사료관리법 시행규칙(농림축산식품부령) 제5조(제조업의 등록)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</si>
  <si>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</si>
  <si>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</si>
  <si>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</si>
  <si>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</si>
  <si>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</si>
  <si>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</si>
  <si>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</si>
  <si>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</si>
  <si>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</si>
  <si>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</si>
  <si>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</si>
  <si>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</si>
  <si>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</si>
  <si>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</si>
  <si>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</si>
  <si>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</si>
  <si>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</si>
  <si>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</si>
  <si>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</si>
  <si>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</si>
  <si>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</si>
  <si>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</si>
  <si>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</si>
  <si>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</si>
  <si>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먹는물관리법(법률) 제24조(영업허가 등의 제한)</t>
  </si>
  <si>
    <t>식품ㆍ의약품분야 시험ㆍ검사 등에 관한 법률 시행규칙(총리령) 제5조(시험검사기관 지정 유효기간의 연장)</t>
  </si>
  <si>
    <t>식품ㆍ의약품분야 시험ㆍ검사 등에 관한 법률 시행규칙(총리령) 제17조(우수시험검사기관의 변경지정)</t>
  </si>
  <si>
    <t>건강기능식품에 관한 법률(법률) 제7조(품목제조신고 등)</t>
  </si>
  <si>
    <t>수입식품안전관리 특별법(법률) 제2조(정의)</t>
  </si>
  <si>
    <t>가축전염병 예방법(법률) 제5조(가축의 소유자등의 방역 및 검역 의무)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</si>
  <si>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</si>
  <si>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</si>
  <si>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제19조(격리와 가축사육시설의 폐쇄명령 등)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</si>
  <si>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</si>
  <si>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 시행규칙(농림축산식품부령) 제5조(심의회의 구성 및 운영)</t>
    <phoneticPr fontId="2" type="noConversion"/>
  </si>
  <si>
    <t>농약관리법(법률) 제3조(영업의 등록 등)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</si>
  <si>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</si>
  <si>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</si>
  <si>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</si>
  <si>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</si>
  <si>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</si>
  <si>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</si>
  <si>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</si>
  <si>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</si>
  <si>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</si>
  <si>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</si>
  <si>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</si>
  <si>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</si>
  <si>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제16조(수입신고 등)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</si>
  <si>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</si>
  <si>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</si>
  <si>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</si>
  <si>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</si>
  <si>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</si>
  <si>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</si>
  <si>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</si>
  <si>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</si>
  <si>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</si>
  <si>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</si>
  <si>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</si>
  <si>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</si>
  <si>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</si>
  <si>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먹는물관리법(법률) 제46조(폐쇄조치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</si>
  <si>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</si>
  <si>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</si>
  <si>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</si>
  <si>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</si>
  <si>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</si>
  <si>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</si>
  <si>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</si>
  <si>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</si>
  <si>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</si>
  <si>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</si>
  <si>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</si>
  <si>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</si>
  <si>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</si>
  <si>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</si>
  <si>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</si>
  <si>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</si>
  <si>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</si>
  <si>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</si>
  <si>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</si>
  <si>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위생관리법(법률) 제10조(부정행위의 금지)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</si>
  <si>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</si>
  <si>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</si>
  <si>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</si>
  <si>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</si>
  <si>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</si>
  <si>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</si>
  <si>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</si>
  <si>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</si>
  <si>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</si>
  <si>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</si>
  <si>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</si>
  <si>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</si>
  <si>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</si>
  <si>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</si>
  <si>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</si>
  <si>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제9조(시험검사기관의 승계)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</si>
  <si>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</si>
  <si>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</si>
  <si>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</si>
  <si>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</si>
  <si>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</si>
  <si>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</si>
  <si>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</si>
  <si>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</si>
  <si>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</si>
  <si>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</si>
  <si>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</si>
  <si>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</si>
  <si>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제6조(영업의 신고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</si>
  <si>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</si>
  <si>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</si>
  <si>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</si>
  <si>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</si>
  <si>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</si>
  <si>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</si>
  <si>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</si>
  <si>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</si>
  <si>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</si>
  <si>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</si>
  <si>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</si>
  <si>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</si>
  <si>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</si>
  <si>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식품위생법 시행규칙(총리령) 제5조(식품등의 한시적 기준 및 규격의 인정 등)</t>
    <phoneticPr fontId="2" type="noConversion"/>
  </si>
  <si>
    <t>식품위생법 시행령(대통령령) 제9조(유전자변형식품등의 안전성 심사)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</si>
  <si>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</si>
  <si>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</si>
  <si>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</si>
  <si>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 시행규칙(총리령)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</si>
  <si>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</si>
  <si>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</si>
  <si>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제19조의4(검사명령 등)</t>
    <phoneticPr fontId="2" type="noConversion"/>
  </si>
  <si>
    <t>식품위생법 시행령(대통령령) 제7조(위해식품등에 대한 긴급대응)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</si>
  <si>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</si>
  <si>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</si>
  <si>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</si>
  <si>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</si>
  <si>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</si>
  <si>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 시행령(대통령령) 제32조의2(위생등급 지정에 관한 업무의 위탁)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</si>
  <si>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</si>
  <si>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</si>
  <si>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</si>
  <si>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</si>
  <si>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</si>
  <si>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</si>
  <si>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</si>
  <si>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</si>
  <si>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</si>
  <si>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</si>
  <si>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</si>
  <si>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</si>
  <si>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</si>
  <si>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</si>
  <si>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</si>
  <si>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</si>
  <si>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수입식품안전관리 특별법 시행규칙(총리령) 제10조의2(특별위생관리식품의 수입위생평가 등)</t>
  </si>
  <si>
    <t>농약관리법(법률) 제8조의2(수출농약의 등록 등)</t>
  </si>
  <si>
    <t>가축전염병 예방법(법률) 제52조의2(행정기관 간의 업무협조)</t>
    <phoneticPr fontId="2" type="noConversion"/>
  </si>
  <si>
    <t>가축전염병 예방법(법률) 제14조(가축전염병 병원체 분리신고 및 보존관리)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</si>
  <si>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</si>
  <si>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제49조(생계안정 등 지원)</t>
    <phoneticPr fontId="2" type="noConversion"/>
  </si>
  <si>
    <t>가축전염병 예방법(법률) 제7조(가축방역관)</t>
    <phoneticPr fontId="2" type="noConversion"/>
  </si>
  <si>
    <t>농약관리법(법률) 제17조의2(농약활용기자재의 등록)</t>
    <phoneticPr fontId="2" type="noConversion"/>
  </si>
  <si>
    <t>농약관리법(법률) 제7조(등록의 취소 등)</t>
    <phoneticPr fontId="2" type="noConversion"/>
  </si>
  <si>
    <t>농약관리법(법률) 제13조(신청에 의한 품목변경등록 등)</t>
    <phoneticPr fontId="2" type="noConversion"/>
  </si>
  <si>
    <t>먹는물관리법 시행령(대통령령) 제3조(샘물 또는 염지하수의 개발허가 대상)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</si>
  <si>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</si>
  <si>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먹는물관리법(법률) 제49조(행정처분 효과의 승계)</t>
    <phoneticPr fontId="2" type="noConversion"/>
  </si>
  <si>
    <t>사료관리법 시행규칙(농림축산식품부령) 제17조(교육훈련 등)</t>
    <phoneticPr fontId="2" type="noConversion"/>
  </si>
  <si>
    <t>사료관리법 시행규칙(농림축산식품부령) 제15조(위해요소중점관리기준의 작성운용 등)</t>
    <phoneticPr fontId="2" type="noConversion"/>
  </si>
  <si>
    <t>사료관리법 시행규칙(농림축산식품부령) 제40조(규제의 재검토)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</si>
  <si>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</si>
  <si>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제15조의2(수입판매 금지 등)</t>
    <phoneticPr fontId="2" type="noConversion"/>
  </si>
  <si>
    <t>축산물 위생관리법(법률) 제31조의2(위해 축산물의 회수 및 폐기 등)</t>
    <phoneticPr fontId="2" type="noConversion"/>
  </si>
  <si>
    <t>축산물 위생관리법(법률) 제42조(공중위생상 위해 시의 조치)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</si>
  <si>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</si>
  <si>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건강기능식품에 관한 법률(법률) 제12조의2(품질관리인의 변경명령)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</si>
  <si>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</si>
  <si>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법률(법률) 제34조(행정제재처분 효과의 승계)</t>
    <phoneticPr fontId="2" type="noConversion"/>
  </si>
  <si>
    <t>건강기능식품에 관한 법률(법률) 제40조(포상금 지급)</t>
    <phoneticPr fontId="2" type="noConversion"/>
  </si>
  <si>
    <t>건강기능식품에 관한 법률 시행규칙(총리령) 제5조(영업의 신고 등)</t>
    <phoneticPr fontId="2" type="noConversion"/>
  </si>
  <si>
    <t>수입식품안전관리 특별법(법률) 제6조(해외제조업소의 현지실사)</t>
    <phoneticPr fontId="2" type="noConversion"/>
  </si>
  <si>
    <t>수입식품안전관리 특별법(법률) 제25조(출입검사수거 등)</t>
    <phoneticPr fontId="2" type="noConversion"/>
  </si>
  <si>
    <t>수입식품안전관리 특별법 시행규칙(총리령) 제50조(수수료)</t>
    <phoneticPr fontId="2" type="noConversion"/>
  </si>
  <si>
    <t>식품위생법 시행령(대통령령) 제4조(위해평가의 대상 등)</t>
    <phoneticPr fontId="2" type="noConversion"/>
  </si>
  <si>
    <t>식품위생법 시행규칙(총리령) 제35조(위생점검의 절차 및 결과 표시 등)</t>
    <phoneticPr fontId="2" type="noConversion"/>
  </si>
  <si>
    <t>식품위생법 시행규칙(총리령) 제48조(영업자 지위승계 신고)</t>
    <phoneticPr fontId="2" type="noConversion"/>
  </si>
  <si>
    <t>식품위생법 시행령(대통령령) 제17조의2(식품위생감시원의 교육)</t>
    <phoneticPr fontId="2" type="noConversion"/>
  </si>
  <si>
    <t>식품위생법 시행령(대통령령) 제40조(위원의 직무)</t>
    <phoneticPr fontId="2" type="noConversion"/>
  </si>
  <si>
    <t>식품위생법(법률) 제41조의2(위생관리책임자)</t>
    <phoneticPr fontId="2" type="noConversion"/>
  </si>
  <si>
    <t>수입식품안전관리 특별법 시행규칙(총리령) 제14조(해외작업장의 등록 취소 등)</t>
  </si>
  <si>
    <t>수입식품안전관리 특별법(법률) 제26조(교육명령)</t>
  </si>
  <si>
    <t>먹는물관리법(법률) 제38조(수출용 제품의 기준, 규격, 표시 기준)</t>
    <phoneticPr fontId="2" type="noConversion"/>
  </si>
  <si>
    <t>먹는물관리법 시행규칙(환경부령) 제4조의2(샘물등의 개발 임시 허가 변경신고)</t>
    <phoneticPr fontId="2" type="noConversion"/>
  </si>
  <si>
    <t>사료관리법(법률) 제11조(사료의 공정 등)</t>
    <phoneticPr fontId="2" type="noConversion"/>
  </si>
  <si>
    <t>수입식품안전관리 특별법(법률) 제26조(교육명령)</t>
    <phoneticPr fontId="2" type="noConversion"/>
  </si>
  <si>
    <t>수입식품안전관리 특별법(법률) 제9조(현지실사 등 위탁)</t>
    <phoneticPr fontId="2" type="noConversion"/>
  </si>
  <si>
    <t>가축전염병 예방법 시행규칙(농림축산식품부령) 제7조의5(방역관리 책임자)</t>
  </si>
  <si>
    <t>가축전염병 예방법(법률) 제49조(생계안정 등 지원)</t>
  </si>
  <si>
    <t>가축전염병 예방법(법률) 제15조의2(가축의 입식 사전 신고)</t>
  </si>
  <si>
    <t>가축전염병 예방법 시행규칙(농림축산식품부령) 제8조(가축방역교육 실시 등)</t>
  </si>
  <si>
    <t>가축전염병 예방법(법률) 제21조(도태의 권고 및 명령)</t>
  </si>
  <si>
    <t>가축전염병 예방법 시행규칙(농림축산식품부령) 제7조의10(행정처분의 기준)</t>
  </si>
  <si>
    <t>가축전염병 예방법 시행규칙(농림축산식품부령) 제3조의4(국가가축방역통합정보시스템의 구축운영)</t>
  </si>
  <si>
    <t>가축전염병 예방법(법률) 제61조</t>
  </si>
  <si>
    <t>가축전염병 예방법 시행규칙(농림축산식품부령) 제31조(지정검역물)</t>
  </si>
  <si>
    <t>가축전염병 예방법 시행규칙(농림축산식품부령) 제20조의2(출입기록의 작성보존 등)</t>
  </si>
  <si>
    <t>농약관리법 시행규칙(농림축산식품부령) 제11조(행정처분의 기준)</t>
  </si>
  <si>
    <t>농약관리법(법률) 제5조의2(행정처분 효과의 승계)</t>
  </si>
  <si>
    <t>농약관리법(법률) 제23조의8(조정의 거부중지 및 종결)</t>
  </si>
  <si>
    <t>농약관리법 시행규칙(농림축산식품부령) 제22조의5(시험연구기관의 재지정)</t>
  </si>
  <si>
    <t>농약관리법(법률) 제23조의6(위원의 제척회피기피)</t>
  </si>
  <si>
    <t>농약관리법(법률) 제14조의2(직권 이외의 사유에 의한 품목등록의 취소 등)</t>
  </si>
  <si>
    <t>농약관리법 시행령(대통령령) 부칙 제20조(농약등의 취급제한기준)</t>
  </si>
  <si>
    <t>농약관리법 시행령(대통령령) 제21조의4(조정위원회 구성 등의 권한 위임)</t>
  </si>
  <si>
    <t>먹는물관리법(법률) 제13조(환경영향조사)</t>
  </si>
  <si>
    <t>먹는물관리법 시행규칙(환경부령) 제33조(자가 품질 검사)</t>
  </si>
  <si>
    <t>먹는물관리법(법률) 제10조(샘물등의 개발의 임시 허가)</t>
  </si>
  <si>
    <t>먹는물관리법 시행령(대통령령) 제13조(부담금의 징수유예 및 분할납부 등)</t>
  </si>
  <si>
    <t>먹는물관리법 시행규칙(환경부령) 제24조(부담금의 부과고지 등)</t>
  </si>
  <si>
    <t>먹는물관리법(법률) 제41조(자가 품질 검사의 의무)</t>
  </si>
  <si>
    <t>먹는물관리법(법률) 제6조(벌칙에 관한 경과조치)</t>
  </si>
  <si>
    <t>먹는물관리법 시행규칙(환경부령) 제5조(자가 품질 검사 기준의 특례)</t>
  </si>
  <si>
    <t>사료관리법(법률) 제11조(사료의 공정 등)</t>
  </si>
  <si>
    <t>사료관리법(법률) 제7조(사료의 용도 외 판매금지)</t>
  </si>
  <si>
    <t>사료관리법(법률) 제33조(벌칙)</t>
  </si>
  <si>
    <t>사료관리법 시행규칙(농림축산식품부령) 제19조(위해요소중점관리기준의 준수 여부 등에 관한 심사)</t>
  </si>
  <si>
    <t>사료관리법(법률) 제24조(폐기 등의 조치)</t>
  </si>
  <si>
    <t>사료관리법 시행규칙(농림축산식품부령) 제36조(행정처분의 기준)</t>
  </si>
  <si>
    <t>사료관리법 시행규칙(농림축산식품부령) 제29조(사료검정기관의 지정 등)</t>
  </si>
  <si>
    <t>사료관리법 시행규칙(농림축산식품부령) 제21조(자가품질검사)</t>
  </si>
  <si>
    <t>사료관리법(법률) 제2조(정의)</t>
  </si>
  <si>
    <t>축산물 위생관리법(법률) 제19조의2(소비자 등의 위생검사등 요청)</t>
  </si>
  <si>
    <t>축산물 위생관리법 시행규칙(총리령) 제61조(벌칙에서 제외되는 자)</t>
  </si>
  <si>
    <t>축산물 위생관리법 시행규칙(총리령) 제36조의2(신고 사항의 직권말소 절차)</t>
  </si>
  <si>
    <t>축산물 위생관리법 시행령(대통령령) 제7조(회의소집 및 의사결정)</t>
  </si>
  <si>
    <t>축산물 위생관리법 시행규칙(총리령) 제7조의2(안전관리인증기준 적용 확인서의 발급)</t>
  </si>
  <si>
    <t>축산물 위생관리법 시행규칙(총리령) 제51조의2(회수대상 축산물의 기준)</t>
  </si>
  <si>
    <t>축산물 위생관리법 시행규칙(총리령) 제43조(과징금 부과 제외대상)</t>
  </si>
  <si>
    <t>축산물 위생관리법(법률) 제21조(영업의 종류 및 시설기준)</t>
  </si>
  <si>
    <t>축산물 위생관리법(법률) 제25조(품목 제조의 보고)</t>
  </si>
  <si>
    <t>식품ㆍ의약품분야 시험ㆍ검사 등에 관한 법률 시행령(대통령령) 제14조의2(고유식별정보의 처리)</t>
  </si>
  <si>
    <t>식품ㆍ의약품분야 시험ㆍ검사 등에 관한 법률 시행규칙(총리령) 제3조(총리령으로 정하는 시험검사기관)</t>
  </si>
  <si>
    <t>식품ㆍ의약품분야 시험ㆍ검사 등에 관한 법률(법률) 제9조(시험검사기관의 승계)</t>
  </si>
  <si>
    <t>식품ㆍ의약품분야 시험ㆍ검사 등에 관한 법률 시행규칙(총리령) 제25조의2(시험검사평가지도원의 자격 등)</t>
  </si>
  <si>
    <t>식품ㆍ의약품분야 시험ㆍ검사 등에 관한 법률(법률) 제19조(폐쇄조치 등)</t>
  </si>
  <si>
    <t>식품ㆍ의약품분야 시험ㆍ검사 등에 관한 법률(법률) 제22조의2(시험검사평가지도원)</t>
  </si>
  <si>
    <t>식품ㆍ의약품분야 시험ㆍ검사 등에 관한 법률(법률) 제16조(시험검사 능력 평가 및 관리)</t>
  </si>
  <si>
    <t>식품ㆍ의약품분야 시험ㆍ검사 등에 관한 법률(법률) 제21조(국고보조)</t>
  </si>
  <si>
    <t>건강기능식품에 관한 법률(법률) 제20조(출입검사수거 등)</t>
  </si>
  <si>
    <t>건강기능식품에 관한 법률 시행규칙(총리령) 제7조(폐업신고)</t>
  </si>
  <si>
    <t>건강기능식품에 관한 법률 시행규칙(총리령) 제29조의3(등록사항 변경신고)</t>
  </si>
  <si>
    <t>건강기능식품에 관한 법률 시행규칙(총리령) 제16조(품질관리인의 선임해임신고)</t>
  </si>
  <si>
    <t>건강기능식품에 관한 법률(법률) 제10조의3(보험 가입)</t>
  </si>
  <si>
    <t>건강기능식품에 관한 법률 시행규칙(총리령) 제19조(교육시간)</t>
  </si>
  <si>
    <t>건강기능식품에 관한 법률(법률) 제33조(품목의 제조정지 등)</t>
  </si>
  <si>
    <t>건강기능식품에 관한 법률 시행규칙(총리령) 제31조(행정처분의 기준 등)</t>
  </si>
  <si>
    <t>건강기능식품에 관한 법률(법률) 제11조(영업의 승계)</t>
  </si>
  <si>
    <t>수입식품안전관리 특별법(법률) 제10조의2(특별위생관리식품의 수입위생평가 등)</t>
  </si>
  <si>
    <t>수입식품안전관리 특별법 시행규칙(총리령) 제2조(해외제조업소의 등록 등)</t>
  </si>
  <si>
    <t>수입식품안전관리 특별법 시행규칙(총리령) 제8조(해외식품 위생평가기관의 변경지정 등)</t>
  </si>
  <si>
    <t>수입식품안전관리 특별법 시행령(대통령령) 제9조(영업정지 처분을 갈음하여 부과하는 과징금의 산정기준)</t>
  </si>
  <si>
    <t>수입식품안전관리 특별법 시행규칙(총리령) 제7조(해외식품 위생평가기관의 지정 등)</t>
  </si>
  <si>
    <t>식품위생법(법률) 제49조(식품이력추적관리 등록기준 등)</t>
  </si>
  <si>
    <t>식품위생법 시행규칙(총리령) 제60조(이물 보고의 대상 등)</t>
  </si>
  <si>
    <t>식품위생법 시행규칙(총리령) 제101조(과태료의 부과대상)</t>
  </si>
  <si>
    <t>식품위생법(법률) 제19조의4(검사명령 등)</t>
  </si>
  <si>
    <t>식품위생법(법률) 제39조(영업 승계)</t>
  </si>
  <si>
    <t>식품위생법 시행규칙(총리령) 제51조(식품위생교육기관 등)</t>
  </si>
  <si>
    <t>식품위생법(법률) 제70조의7(건강 위해가능 영양성분 관리)</t>
  </si>
  <si>
    <t>식품위생법 시행규칙(총리령) 제70조(등록사항)</t>
  </si>
  <si>
    <t>식품위생법(법률) 제63조(자율지도원 등)</t>
  </si>
  <si>
    <t>식품위생법 시행규칙(총리령) 제61조의2(위생등급의 지정절차 및 위생등급 공표표시의 방법 등)</t>
  </si>
  <si>
    <t>한국식품안전관리인증원의 설립 및 운영에 관한 법률 시행령(대통령령) 제3조(사업계획서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</si>
  <si>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</si>
  <si>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 시행령(대통령령) 제1조(목적)</t>
  </si>
  <si>
    <t>한국식품안전관리인증원의 설립 및 운영에 관한 법률(법률) 제9조(직원의 임면)</t>
  </si>
  <si>
    <t>한국식품안전관리인증원의 설립 및 운영에 관한 법률(법률) 제17조(동일 명칭의 사용 금지)</t>
  </si>
  <si>
    <t>한국식품안전관리인증원의 설립 및 운영에 관한 법률(법률) 제18조(벌칙 적용에서 공무원 의제)</t>
  </si>
  <si>
    <t>한국식품안전관리인증원의 설립 및 운영에 관한 법률 시행령(대통령령) 부칙 제1조(시행일)</t>
  </si>
  <si>
    <t>가축전염병 예방법(법률) 제17조의5(시설출입차량에 대한 조사 등)</t>
    <phoneticPr fontId="2" type="noConversion"/>
  </si>
  <si>
    <t>가축전염병 예방법 시행령(대통령령) 제11조의4(폐업지원금의 지급절차 및 시행기간)</t>
    <phoneticPr fontId="2" type="noConversion"/>
  </si>
  <si>
    <t>가축전염병 예방법 시행령(대통령령) 제12조의2(소득안정비용 등)</t>
    <phoneticPr fontId="2" type="noConversion"/>
  </si>
  <si>
    <t>가축전염병 예방법 시행규칙(농림축산식품부령) 제45조의3(수수료의 납부방법)</t>
    <phoneticPr fontId="2" type="noConversion"/>
  </si>
  <si>
    <t>가축전염병 예방법(법률) 제51조의3(신고포상금 등)</t>
    <phoneticPr fontId="2" type="noConversion"/>
  </si>
  <si>
    <t>가축전염병 예방법 시행규칙(농림축산식품부령) 제20조의4(시설출입차량 등록증의 발급 등)</t>
    <phoneticPr fontId="2" type="noConversion"/>
  </si>
  <si>
    <t>가축전염병 예방법(법률) 제6조(가축방역교육)</t>
    <phoneticPr fontId="2" type="noConversion"/>
  </si>
  <si>
    <t>가축전염병 예방법(법률) 제21조(도태의 권고 및 명령)</t>
    <phoneticPr fontId="2" type="noConversion"/>
  </si>
  <si>
    <t>가축전염병 예방법 시행규칙(농림축산식품부령) 제42조의4(검역시행장에 대한 행정처분의 기준)</t>
    <phoneticPr fontId="2" type="noConversion"/>
  </si>
  <si>
    <t>가축전염병 예방법(법률) 제9조(가축위생방역 지원본부)</t>
    <phoneticPr fontId="2" type="noConversion"/>
  </si>
  <si>
    <t>가축전염병 예방법(법률) 제48조의3(가축전염병피해보상협의회 구성 등)</t>
    <phoneticPr fontId="2" type="noConversion"/>
  </si>
  <si>
    <t>가축전염병 예방법(법률) 제10조(수의과학기술 개발계획 등)</t>
    <phoneticPr fontId="2" type="noConversion"/>
  </si>
  <si>
    <t>가축전염병 예방법 시행규칙(농림축산식품부령) 제3조의2(매몰 후보지의 선정)</t>
    <phoneticPr fontId="2" type="noConversion"/>
  </si>
  <si>
    <t>가축전염병 예방법 시행령(대통령령) 제17조</t>
    <phoneticPr fontId="2" type="noConversion"/>
  </si>
  <si>
    <t>가축전염병 예방법 시행규칙(농림축산식품부령) 제51조</t>
    <phoneticPr fontId="2" type="noConversion"/>
  </si>
  <si>
    <t>가축전염병 예방법 시행규칙(농림축산식품부령) 제52조</t>
    <phoneticPr fontId="2" type="noConversion"/>
  </si>
  <si>
    <t>가축전염병 예방법(법률) 제24조의2(주변 환경조사 등)</t>
    <phoneticPr fontId="2" type="noConversion"/>
  </si>
  <si>
    <t>가축전염병 예방법 시행령(대통령령) 제2조(보상금의 지급 및 감액 기준에 관한 적용례)</t>
    <phoneticPr fontId="2" type="noConversion"/>
  </si>
  <si>
    <t>가축전염병 예방법(법률) 제5조의4(방역위생관리업자에 대한 교육 등)</t>
    <phoneticPr fontId="2" type="noConversion"/>
  </si>
  <si>
    <t>가축전염병 예방법 시행령(대통령령) 제14조의2(보상금 등의 감액)</t>
    <phoneticPr fontId="2" type="noConversion"/>
  </si>
  <si>
    <t>가축전염병 예방법(법률) 제20조(살처분 명령)</t>
    <phoneticPr fontId="2" type="noConversion"/>
  </si>
  <si>
    <t>가축전염병 예방법 시행규칙(농림축산식품부령) 제28조(항해중 사체의 처분)</t>
    <phoneticPr fontId="2" type="noConversion"/>
  </si>
  <si>
    <t>가축전염병 예방법 시행령(대통령령) 제11조의5(가축전염병 피해 보상금의 지급 신청 등)</t>
    <phoneticPr fontId="2" type="noConversion"/>
  </si>
  <si>
    <t>가축전염병 예방법 시행규칙(농림축산식품부령) 제7조의9(소독방제의 기준 및 기록 등)</t>
    <phoneticPr fontId="2" type="noConversion"/>
  </si>
  <si>
    <t>농약관리법(법률) 제17조의5(시험연구기관의 지정취소 등)</t>
    <phoneticPr fontId="2" type="noConversion"/>
  </si>
  <si>
    <t>농약관리법 시행규칙(농림축산식품부령) 제22조의6(시험연구기관 행정처분의 세부기준)</t>
    <phoneticPr fontId="2" type="noConversion"/>
  </si>
  <si>
    <t>농약관리법 시행령(대통령령) 제21조의5(신고포상금의 지급액 등)</t>
    <phoneticPr fontId="2" type="noConversion"/>
  </si>
  <si>
    <t>농약관리법(법률) 제3조의2(영업의 신고)</t>
    <phoneticPr fontId="2" type="noConversion"/>
  </si>
  <si>
    <t>농약관리법 시행규칙(농림축산식품부령) 제16조의2(품목등록자의 지위승계 신고)</t>
    <phoneticPr fontId="2" type="noConversion"/>
  </si>
  <si>
    <t>농약관리법 시행규칙(농림축산식품부령) 제9조(폐업의 신고)</t>
    <phoneticPr fontId="2" type="noConversion"/>
  </si>
  <si>
    <t>농약관리법 시행규칙(농림축산식품부령) 제22조의2(농약활용기자재 제품의 등록신청 등)</t>
    <phoneticPr fontId="2" type="noConversion"/>
  </si>
  <si>
    <t>농약관리법(법률) 제26조(이의신청 특례)</t>
    <phoneticPr fontId="2" type="noConversion"/>
  </si>
  <si>
    <t>농약관리법 시행규칙(농림축산식품부령) 제32조(규제의 재검토)</t>
    <phoneticPr fontId="2" type="noConversion"/>
  </si>
  <si>
    <t>농약관리법 시행규칙(농림축산식품부령) 제25조(자체검사증명서 등)</t>
    <phoneticPr fontId="2" type="noConversion"/>
  </si>
  <si>
    <t>농약관리법 시행령(대통령령) 제22조의2(민감정보 및 고유식별정보의 처리)</t>
    <phoneticPr fontId="2" type="noConversion"/>
  </si>
  <si>
    <t>먹는물관리법(법률) 제43조의2(검사기관 기술인력의 자격정지)</t>
    <phoneticPr fontId="2" type="noConversion"/>
  </si>
  <si>
    <t>먹는물관리법(법률) 제2조(부담금 체납에 따른 검사 거부에 관한 경과조치)</t>
    <phoneticPr fontId="2" type="noConversion"/>
  </si>
  <si>
    <t>먹는물관리법 시행규칙(환경부령) 제43조의2(지방환경관서의 장에게 관리권한이 위임되는 먹는물 수질검사기관)</t>
    <phoneticPr fontId="2" type="noConversion"/>
  </si>
  <si>
    <t>먹는물관리법 시행규칙(환경부령) 제42조(과징금 부과 제외)</t>
    <phoneticPr fontId="2" type="noConversion"/>
  </si>
  <si>
    <t>먹는물관리법(법률) 제53조(다른 법률과의 관계)</t>
    <phoneticPr fontId="2" type="noConversion"/>
  </si>
  <si>
    <t>먹는물관리법 시행규칙(환경부령) 제32조(거짓 또는 과대 표시광고의 금지 등)</t>
    <phoneticPr fontId="2" type="noConversion"/>
  </si>
  <si>
    <t>먹는물관리법 시행규칙(환경부령) 제41조(행정처분대장 등)</t>
    <phoneticPr fontId="2" type="noConversion"/>
  </si>
  <si>
    <t>먹는물관리법 시행령(대통령령) 제13조(부담금의 징수유예 및 분할납부 등)</t>
    <phoneticPr fontId="2" type="noConversion"/>
  </si>
  <si>
    <t>먹는물관리법 시행령(대통령령) 제17조(광고의 제한 등)</t>
    <phoneticPr fontId="2" type="noConversion"/>
  </si>
  <si>
    <t>먹는물관리법 시행규칙(환경부령) 제1조의3(먹는물의 수질관리)</t>
    <phoneticPr fontId="2" type="noConversion"/>
  </si>
  <si>
    <t>먹는물관리법(법률) 제45조(지도와 개선명령)</t>
    <phoneticPr fontId="2" type="noConversion"/>
  </si>
  <si>
    <t>먹는물관리법(법률) 제5조(제재처분에 관한 경과조치)</t>
    <phoneticPr fontId="2" type="noConversion"/>
  </si>
  <si>
    <t>먹는물관리법 시행규칙(환경부령) 제5조(조사서의 기술적 심사)</t>
    <phoneticPr fontId="2" type="noConversion"/>
  </si>
  <si>
    <t>먹는물관리법(법률) 제6조(먹는물 수질에 대한 공정시험 방법)</t>
    <phoneticPr fontId="2" type="noConversion"/>
  </si>
  <si>
    <t>먹는물관리법 시행령(대통령령) 제20조의2(규제의 재검토)</t>
    <phoneticPr fontId="2" type="noConversion"/>
  </si>
  <si>
    <t>먹는물관리법 시행규칙(환경부령) 제38조(개선기간)</t>
    <phoneticPr fontId="2" type="noConversion"/>
  </si>
  <si>
    <t>사료관리법(법률) 제25조(제조업의 등록취소 등)</t>
    <phoneticPr fontId="2" type="noConversion"/>
  </si>
  <si>
    <t>사료관리법(법률) 제28조(수수료 등)</t>
    <phoneticPr fontId="2" type="noConversion"/>
  </si>
  <si>
    <t>사료관리법 시행령(대통령령) 제3조(사료안전관리인)</t>
    <phoneticPr fontId="2" type="noConversion"/>
  </si>
  <si>
    <t>사료관리법(법률) 제33조(벌칙)</t>
    <phoneticPr fontId="2" type="noConversion"/>
  </si>
  <si>
    <t>사료관리법(법률) 제36조(과태료)</t>
    <phoneticPr fontId="2" type="noConversion"/>
  </si>
  <si>
    <t>사료관리법 시행규칙(농림축산식품부령) 제38조(수수료 및 검사료 등)</t>
    <phoneticPr fontId="2" type="noConversion"/>
  </si>
  <si>
    <t>사료관리법(법률) 제24조(폐기 등의 조치)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</si>
  <si>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</si>
  <si>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 시행규칙(농림축산식품부령) 제8조(제조업의 승계)</t>
    <phoneticPr fontId="2" type="noConversion"/>
  </si>
  <si>
    <t>사료관리법(법률) 제15조(사료의 함량혼합 제한 등)</t>
    <phoneticPr fontId="2" type="noConversion"/>
  </si>
  <si>
    <t>사료관리법 시행규칙(농림축산식품부령) 제10조(사료안전관리인의 직무)</t>
    <phoneticPr fontId="2" type="noConversion"/>
  </si>
  <si>
    <t>사료관리법 시행령(대통령령) 제5조(과징금을 부과할 위반행위의 종별과 과징금의 금액)</t>
    <phoneticPr fontId="2" type="noConversion"/>
  </si>
  <si>
    <t>사료관리법(법률) 제23조(사료의 재검사)</t>
    <phoneticPr fontId="2" type="noConversion"/>
  </si>
  <si>
    <t>사료관리법 시행규칙(농림축산식품부령) 제22조(사료시험검사기관의 지정)</t>
    <phoneticPr fontId="2" type="noConversion"/>
  </si>
  <si>
    <t>사료관리법(법률) 제20조의2(사료시험검사기관의 지정 등)</t>
    <phoneticPr fontId="2" type="noConversion"/>
  </si>
  <si>
    <t>축산물 위생관리법 시행령(대통령령) 제30조(포상금의 지급)</t>
    <phoneticPr fontId="2" type="noConversion"/>
  </si>
  <si>
    <t>축산물 위생관리법(법률) 제9조의5(안전관리인증기준의 교육훈련기관 지정 등)</t>
    <phoneticPr fontId="2" type="noConversion"/>
  </si>
  <si>
    <t>축산물 위생관리법 시행령(대통령령) 제23조(허가의 취소 등)</t>
    <phoneticPr fontId="2" type="noConversion"/>
  </si>
  <si>
    <t>축산물 위생관리법(법률) 제12조의2(가축 등의 출하 전 준수사항)</t>
    <phoneticPr fontId="2" type="noConversion"/>
  </si>
  <si>
    <t>축산물 위생관리법(법률) 제11조(가축의 검사)</t>
    <phoneticPr fontId="2" type="noConversion"/>
  </si>
  <si>
    <t>축산물 위생관리법 시행령(대통령령) 제16조의2(도서벽지의 작업장)</t>
    <phoneticPr fontId="2" type="noConversion"/>
  </si>
  <si>
    <t>축산물 위생관리법 시행규칙(총리령) 제58조의3(수출을 목적으로 하는 가축외동물의 검사에 관한 특례)</t>
    <phoneticPr fontId="2" type="noConversion"/>
  </si>
  <si>
    <t>축산물 위생관리법(법률) 제40조(보조금)</t>
    <phoneticPr fontId="2" type="noConversion"/>
  </si>
  <si>
    <t>축산물 위생관리법 시행규칙(총리령) 제8조(가축 및 식육의 검사신청 등)</t>
    <phoneticPr fontId="2" type="noConversion"/>
  </si>
  <si>
    <t>축산물 위생관리법(법률) 제46조(양벌규정)</t>
    <phoneticPr fontId="2" type="noConversion"/>
  </si>
  <si>
    <t>축산물 위생관리법(법률) 제44조(권한의 위임 및 위탁)</t>
    <phoneticPr fontId="2" type="noConversion"/>
  </si>
  <si>
    <t>축산물 위생관리법 시행령(대통령령) 제7조(회의소집 및 의사결정)</t>
    <phoneticPr fontId="2" type="noConversion"/>
  </si>
  <si>
    <t>축산물 위생관리법(법률) 부칙 제9조의2(인증 유효기간)</t>
    <phoneticPr fontId="2" type="noConversion"/>
  </si>
  <si>
    <t>축산물 위생관리법 시행규칙(총리령) 제2조(가축의 도살처리 및 집유의 기준)</t>
    <phoneticPr fontId="2" type="noConversion"/>
  </si>
  <si>
    <t>축산물 위생관리법 시행령(대통령령) 제32조(과태료의 부과기준)</t>
    <phoneticPr fontId="2" type="noConversion"/>
  </si>
  <si>
    <t>축산물 위생관리법 시행규칙(총리령) 제23조(합격표시)</t>
    <phoneticPr fontId="2" type="noConversion"/>
  </si>
  <si>
    <t>축산물 위생관리법 시행령(대통령령) 제11조(수당과 여비)</t>
    <phoneticPr fontId="2" type="noConversion"/>
  </si>
  <si>
    <t>축산물 위생관리법 시행규칙(총리령) 제58조의2(가축외동물의 검사 방법 및 기준 등)</t>
    <phoneticPr fontId="2" type="noConversion"/>
  </si>
  <si>
    <t>축산물 위생관리법 시행규칙(총리령) 제5조(도축장 외의 장소에서 도살처리한 가축의 신고 등)</t>
    <phoneticPr fontId="2" type="noConversion"/>
  </si>
  <si>
    <t>식품ㆍ의약품분야 시험ㆍ검사 등에 관한 법률 시행령(대통령령) 제4조(실무위원회의 구성)</t>
    <phoneticPr fontId="2" type="noConversion"/>
  </si>
  <si>
    <t>식품ㆍ의약품분야 시험ㆍ검사 등에 관한 법률(법률) 제29조(양벌규정)</t>
    <phoneticPr fontId="2" type="noConversion"/>
  </si>
  <si>
    <t>식품ㆍ의약품분야 시험ㆍ검사 등에 관한 법률(법률) 제27조(벌칙 적용에서 공무원 의제)</t>
    <phoneticPr fontId="2" type="noConversion"/>
  </si>
  <si>
    <t>식품ㆍ의약품분야 시험ㆍ검사 등에 관한 법률(법률) 제15조(시험검사의 운영체계 확립)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</si>
  <si>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</si>
  <si>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제28조(규제의 재검토)</t>
    <phoneticPr fontId="2" type="noConversion"/>
  </si>
  <si>
    <t>식품ㆍ의약품분야 시험ㆍ검사 등에 관한 법률(법률) 제9조의2(행정제재처분 효과의 승계)</t>
    <phoneticPr fontId="2" type="noConversion"/>
  </si>
  <si>
    <t>식품ㆍ의약품분야 시험ㆍ검사 등에 관한 법률 시행규칙(총리령) 제8조의3(국외시험검사기관의 재지정)</t>
    <phoneticPr fontId="2" type="noConversion"/>
  </si>
  <si>
    <t>식품ㆍ의약품분야 시험ㆍ검사 등에 관한 법률(법률) 제22조의2(시험검사평가지도원)</t>
    <phoneticPr fontId="2" type="noConversion"/>
  </si>
  <si>
    <t>식품ㆍ의약품분야 시험ㆍ검사 등에 관한 법률 시행령(대통령령) 제11조(과징금의 부과 및 납부)</t>
    <phoneticPr fontId="2" type="noConversion"/>
  </si>
  <si>
    <t>식품ㆍ의약품분야 시험ㆍ검사 등에 관한 법률 시행규칙(총리령) 제25조(과징금 징수 절차)</t>
    <phoneticPr fontId="2" type="noConversion"/>
  </si>
  <si>
    <t>식품ㆍ의약품분야 시험ㆍ검사 등에 관한 법률(법률) 제28조(벌칙)</t>
    <phoneticPr fontId="2" type="noConversion"/>
  </si>
  <si>
    <t>건강기능식품에 관한 법률(법률) 제22조(우수건강기능식품제조기준 등)</t>
    <phoneticPr fontId="2" type="noConversion"/>
  </si>
  <si>
    <t>건강기능식품에 관한 법률 시행령(대통령령) 제17조(허가취소 등의 처분시기)</t>
    <phoneticPr fontId="2" type="noConversion"/>
  </si>
  <si>
    <t>건강기능식품에 관한 법률(법률) 제44조(벌칙)</t>
    <phoneticPr fontId="2" type="noConversion"/>
  </si>
  <si>
    <t>건강기능식품에 관한 법률 시행규칙(총리령) 제35조의2(규제의 재검토)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</si>
  <si>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</si>
  <si>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제3조의4(책임보험의 종류 등)</t>
    <phoneticPr fontId="2" type="noConversion"/>
  </si>
  <si>
    <t>건강기능식품에 관한 법률 시행규칙(총리령) 제36조(과태료의 부과금액 기준)</t>
    <phoneticPr fontId="2" type="noConversion"/>
  </si>
  <si>
    <t>건강기능식품에 관한 법률 시행규칙(총리령) 제25조(자가품질검사)</t>
    <phoneticPr fontId="2" type="noConversion"/>
  </si>
  <si>
    <t>건강기능식품에 관한 법률(법률) 제4조(영업의 종류 및 시설기준)</t>
    <phoneticPr fontId="2" type="noConversion"/>
  </si>
  <si>
    <t>건강기능식품에 관한 법률(법률) 제15조의2(재평가)</t>
    <phoneticPr fontId="2" type="noConversion"/>
  </si>
  <si>
    <t>수입식품안전관리 특별법 시행규칙(총리령) 제3조의5(수입식품안전관리인증기준적용업소에 대한 인증취소 등)</t>
    <phoneticPr fontId="2" type="noConversion"/>
  </si>
  <si>
    <t>수입식품안전관리 특별법(법률) 제10조의2(특별위생관리식품의 수입위생평가 등)</t>
    <phoneticPr fontId="2" type="noConversion"/>
  </si>
  <si>
    <t>수입식품안전관리 특별법 시행규칙(총리령) 제10조의2(특별위생관리식품의 수입위생평가 등)</t>
    <phoneticPr fontId="2" type="noConversion"/>
  </si>
  <si>
    <t>수입식품안전관리 특별법 시행령(대통령령) 제8조(폐쇄조치 절차의 예외)</t>
    <phoneticPr fontId="2" type="noConversion"/>
  </si>
  <si>
    <t>수입식품안전관리 특별법 시행규칙(총리령) 제28조(수입식품등의 용도변경 승인)</t>
    <phoneticPr fontId="2" type="noConversion"/>
  </si>
  <si>
    <t>수입식품안전관리 특별법(법률) 제41조(수수료)</t>
    <phoneticPr fontId="2" type="noConversion"/>
  </si>
  <si>
    <t>수입식품안전관리 특별법 시행령(대통령령) 제13조(위반사실의 공표)</t>
    <phoneticPr fontId="2" type="noConversion"/>
  </si>
  <si>
    <t>수입식품안전관리 특별법(법률) 제17조(위생 교육)</t>
    <phoneticPr fontId="2" type="noConversion"/>
  </si>
  <si>
    <t>수입식품안전관리 특별법(법률) 제36조의2(포상금 지급)</t>
    <phoneticPr fontId="2" type="noConversion"/>
  </si>
  <si>
    <t>수입식품안전관리 특별법(법률) 제47조(과태료 적용의 특례)</t>
    <phoneticPr fontId="2" type="noConversion"/>
  </si>
  <si>
    <t>수입식품안전관리 특별법(법률) 제39조(수입식품등 안전 정보 수집)</t>
    <phoneticPr fontId="2" type="noConversion"/>
  </si>
  <si>
    <t>수입식품안전관리 특별법 시행규칙(총리령) 제49조의5(직접구매 해외식품등에 관한 검사 업무)</t>
    <phoneticPr fontId="2" type="noConversion"/>
  </si>
  <si>
    <t>식품위생법 시행규칙(총리령) 제45조(품목제조의 보고 등)</t>
    <phoneticPr fontId="2" type="noConversion"/>
  </si>
  <si>
    <t>식품위생법 시행규칙(총리령) 제2조(식품등의 위생적인 취급에 관한 기준)</t>
    <phoneticPr fontId="2" type="noConversion"/>
  </si>
  <si>
    <t>식품위생법 시행규칙(총리령) 제58조(회수대상 식품등의 기준)</t>
    <phoneticPr fontId="2" type="noConversion"/>
  </si>
  <si>
    <t>식품위생법(법률) 제75조(허가취소 등)</t>
    <phoneticPr fontId="2" type="noConversion"/>
  </si>
  <si>
    <t>식품위생법 시행규칙(총리령) 제52조(교육시간)</t>
    <phoneticPr fontId="2" type="noConversion"/>
  </si>
  <si>
    <t>식품위생법 시행규칙(총리령) 제31조의5(최종 확인검사 요청 절차 등)</t>
    <phoneticPr fontId="2" type="noConversion"/>
  </si>
  <si>
    <t>식품위생법 시행규칙(총리령) 제51조(식품위생교육기관 등)</t>
    <phoneticPr fontId="2" type="noConversion"/>
  </si>
  <si>
    <t>식품위생법 시행규칙(총리령) 제60조(이물 보고의 대상 등)</t>
    <phoneticPr fontId="2" type="noConversion"/>
  </si>
  <si>
    <t>식품위생법(법률) 제48조(식품안전관리인증기준)</t>
    <phoneticPr fontId="2" type="noConversion"/>
  </si>
  <si>
    <t>식품위생법 시행령(대통령령) 제17조(식품위생감시원의 직무)</t>
    <phoneticPr fontId="2" type="noConversion"/>
  </si>
  <si>
    <t>식품위생법 시행규칙(총리령) 제31조의3(확인검사 등의 보고 절차 등)</t>
    <phoneticPr fontId="2" type="noConversion"/>
  </si>
  <si>
    <t>식품위생법(법률) 제86조(식중독에 관한 조사 보고 등)</t>
    <phoneticPr fontId="2" type="noConversion"/>
  </si>
  <si>
    <t>식품위생법 시행규칙(총리령) 제32조(소비자식품위생감시원의 단독 출입 시 승인서 및 증표)</t>
    <phoneticPr fontId="2" type="noConversion"/>
  </si>
  <si>
    <t>식품위생법(법률) 제73조(위해식품등의 공표)</t>
    <phoneticPr fontId="2" type="noConversion"/>
  </si>
  <si>
    <t>식품위생법(법률) 제72조(폐기처분 등)</t>
    <phoneticPr fontId="2" type="noConversion"/>
  </si>
  <si>
    <t>식품위생법(법률) 제32조(식품위생감시원)</t>
    <phoneticPr fontId="2" type="noConversion"/>
  </si>
  <si>
    <t>식품위생법 시행규칙(총리령) 제47조의2(영업 신고 또는 등록 사항의 직권말소 절차)</t>
    <phoneticPr fontId="2" type="noConversion"/>
  </si>
  <si>
    <t>한국식품안전관리인증원의 설립 및 운영에 관한 법률 시행령(대통령령) 제4조(과태료의 부과기준)</t>
    <phoneticPr fontId="2" type="noConversion"/>
  </si>
  <si>
    <t>한국식품안전관리인증원의 설립 및 운영에 관한 법률(법률) 제2조(법인격)</t>
    <phoneticPr fontId="2" type="noConversion"/>
  </si>
  <si>
    <t>한국식품안전관리인증원의 설립 및 운영에 관한 법률 시행령(대통령령) 제1조(목적)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</si>
</sst>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G483" zoomScale="85" zoomScaleNormal="85" workbookViewId="0">
      <selection activeCell="G504" sqref="G504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750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751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473</v>
      </c>
      <c r="E4" s="4" t="s">
        <v>752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477</v>
      </c>
      <c r="E5" s="4" t="s">
        <v>497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667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6" t="s">
        <v>630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4" t="s">
        <v>753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474</v>
      </c>
      <c r="E9" s="4" t="s">
        <v>754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476</v>
      </c>
      <c r="E10" s="4" t="s">
        <v>628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669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6" t="s">
        <v>755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8" t="s">
        <v>499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2" ht="17.25" thickBot="1" x14ac:dyDescent="0.35">
      <c r="B14" s="4"/>
      <c r="C14" s="4"/>
      <c r="D14" s="4" t="s">
        <v>478</v>
      </c>
      <c r="E14" s="8" t="s">
        <v>498</v>
      </c>
      <c r="F14" s="6" t="b">
        <f t="shared" si="0"/>
        <v>1</v>
      </c>
      <c r="G14" s="6">
        <f t="shared" si="1"/>
        <v>1</v>
      </c>
      <c r="H14" s="6" t="b">
        <f t="shared" si="2"/>
        <v>1</v>
      </c>
      <c r="I14" s="6">
        <f t="shared" si="3"/>
        <v>1</v>
      </c>
    </row>
    <row r="15" spans="1:12" ht="17.25" thickBot="1" x14ac:dyDescent="0.35">
      <c r="B15" s="4"/>
      <c r="C15" s="4"/>
      <c r="D15" s="4"/>
      <c r="E15" s="4" t="s">
        <v>756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670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6" t="s">
        <v>757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500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479</v>
      </c>
      <c r="E19" s="4" t="s">
        <v>630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475</v>
      </c>
      <c r="E20" s="4" t="s">
        <v>758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672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501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759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629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465</v>
      </c>
      <c r="C25" s="4"/>
      <c r="D25" s="4"/>
      <c r="E25" s="4" t="s">
        <v>627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8" t="s">
        <v>673</v>
      </c>
      <c r="F26" s="6" t="b">
        <f t="shared" si="0"/>
        <v>0</v>
      </c>
      <c r="G26" s="6">
        <f t="shared" si="1"/>
        <v>0</v>
      </c>
      <c r="H26" s="6" t="b">
        <f t="shared" si="2"/>
        <v>1</v>
      </c>
      <c r="I26" s="6">
        <f t="shared" si="3"/>
        <v>1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6" t="s">
        <v>760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4" t="s">
        <v>753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761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631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668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6" t="s">
        <v>762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480</v>
      </c>
      <c r="E33" s="4" t="s">
        <v>763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481</v>
      </c>
      <c r="E34" s="4" t="s">
        <v>764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765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674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502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500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482</v>
      </c>
      <c r="E39" s="4" t="s">
        <v>766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767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675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756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483</v>
      </c>
      <c r="E43" s="4" t="s">
        <v>768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769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770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671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6" t="s">
        <v>771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4" t="s">
        <v>772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773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751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676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3</v>
      </c>
      <c r="M51">
        <f>SUM(I2:I51)</f>
        <v>5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774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632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507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775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677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776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8" t="s">
        <v>633</v>
      </c>
      <c r="F58" s="6" t="b">
        <f t="shared" si="0"/>
        <v>1</v>
      </c>
      <c r="G58" s="6">
        <f t="shared" si="1"/>
        <v>1</v>
      </c>
      <c r="H58" s="6" t="b">
        <f t="shared" si="2"/>
        <v>1</v>
      </c>
      <c r="I58" s="6">
        <f t="shared" si="3"/>
        <v>1</v>
      </c>
    </row>
    <row r="59" spans="1:13" ht="17.25" thickBot="1" x14ac:dyDescent="0.35">
      <c r="B59" s="4"/>
      <c r="C59" s="4"/>
      <c r="D59" s="4"/>
      <c r="E59" s="4" t="s">
        <v>515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8" t="s">
        <v>510</v>
      </c>
      <c r="F60" s="6" t="b">
        <f t="shared" si="0"/>
        <v>0</v>
      </c>
      <c r="G60" s="6">
        <f t="shared" si="1"/>
        <v>0</v>
      </c>
      <c r="H60" s="6" t="b">
        <f t="shared" si="2"/>
        <v>1</v>
      </c>
      <c r="I60" s="6">
        <f t="shared" si="3"/>
        <v>1</v>
      </c>
    </row>
    <row r="61" spans="1:13" ht="17.25" thickBot="1" x14ac:dyDescent="0.35">
      <c r="B61" s="5"/>
      <c r="C61" s="5"/>
      <c r="D61" s="5"/>
      <c r="E61" s="4" t="s">
        <v>678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1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503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777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774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778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679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506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505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472</v>
      </c>
      <c r="E69" s="4" t="s">
        <v>779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504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626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507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780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4" t="s">
        <v>508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632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680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6" t="s">
        <v>634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506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472</v>
      </c>
      <c r="E79" s="4" t="s">
        <v>781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508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681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510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514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776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782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682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504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8" t="s">
        <v>511</v>
      </c>
      <c r="F88" s="6" t="b">
        <f t="shared" si="16"/>
        <v>1</v>
      </c>
      <c r="G88" s="6">
        <f t="shared" si="17"/>
        <v>1</v>
      </c>
      <c r="H88" s="6" t="b">
        <f t="shared" si="18"/>
        <v>1</v>
      </c>
      <c r="I88" s="6">
        <f t="shared" si="19"/>
        <v>1</v>
      </c>
    </row>
    <row r="89" spans="2:10" ht="17.25" thickBot="1" x14ac:dyDescent="0.35">
      <c r="B89" s="4"/>
      <c r="E89" s="4" t="s">
        <v>509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783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683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503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782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513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8" t="s">
        <v>512</v>
      </c>
      <c r="F95" s="6" t="b">
        <f t="shared" si="16"/>
        <v>0</v>
      </c>
      <c r="G95" s="6">
        <f t="shared" si="17"/>
        <v>0</v>
      </c>
      <c r="H95" s="6" t="b">
        <f t="shared" si="18"/>
        <v>1</v>
      </c>
      <c r="I95" s="6">
        <f t="shared" si="19"/>
        <v>1</v>
      </c>
    </row>
    <row r="96" spans="2:10" ht="17.25" thickBot="1" x14ac:dyDescent="0.35">
      <c r="B96" s="5"/>
      <c r="C96" s="5"/>
      <c r="D96" s="5"/>
      <c r="E96" s="4" t="s">
        <v>466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6" t="s">
        <v>776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4" t="s">
        <v>782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784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509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684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7</v>
      </c>
      <c r="M101">
        <f>SUM(I52:I101)</f>
        <v>10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516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635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636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662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685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6" t="s">
        <v>785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786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787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788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686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518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789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8" t="s">
        <v>517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9"/>
        <v>1</v>
      </c>
    </row>
    <row r="115" spans="2:10" ht="17.25" thickBot="1" x14ac:dyDescent="0.35">
      <c r="B115" s="4"/>
      <c r="C115" s="4"/>
      <c r="D115" s="4"/>
      <c r="E115" s="4" t="s">
        <v>663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8" t="s">
        <v>687</v>
      </c>
      <c r="F116" s="6" t="b">
        <f t="shared" si="16"/>
        <v>0</v>
      </c>
      <c r="G116" s="6">
        <f t="shared" si="17"/>
        <v>0</v>
      </c>
      <c r="H116" s="6" t="b">
        <f t="shared" si="18"/>
        <v>1</v>
      </c>
      <c r="I116" s="6">
        <f t="shared" si="19"/>
        <v>1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7" t="s">
        <v>520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165</v>
      </c>
      <c r="D118" s="4" t="s">
        <v>426</v>
      </c>
      <c r="E118" s="4" t="s">
        <v>790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791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792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689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521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522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635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523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690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484</v>
      </c>
      <c r="E127" s="7" t="s">
        <v>523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793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794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795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685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485</v>
      </c>
      <c r="E132" s="7" t="s">
        <v>525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524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796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663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691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526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518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8" t="s">
        <v>527</v>
      </c>
      <c r="F139" s="6" t="b">
        <f t="shared" si="32"/>
        <v>0</v>
      </c>
      <c r="G139" s="6">
        <f t="shared" si="33"/>
        <v>0</v>
      </c>
      <c r="H139" s="6" t="b">
        <f t="shared" si="34"/>
        <v>1</v>
      </c>
      <c r="I139" s="6">
        <f t="shared" si="35"/>
        <v>1</v>
      </c>
    </row>
    <row r="140" spans="2:10" ht="17.25" thickBot="1" x14ac:dyDescent="0.35">
      <c r="B140" s="4"/>
      <c r="C140" s="4"/>
      <c r="D140" s="4"/>
      <c r="E140" s="4" t="s">
        <v>797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688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529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637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8" t="s">
        <v>528</v>
      </c>
      <c r="F144" s="6" t="b">
        <f t="shared" si="32"/>
        <v>0</v>
      </c>
      <c r="G144" s="6">
        <f t="shared" si="33"/>
        <v>0</v>
      </c>
      <c r="H144" s="6" t="b">
        <f t="shared" si="34"/>
        <v>1</v>
      </c>
      <c r="I144" s="6">
        <f t="shared" si="35"/>
        <v>1</v>
      </c>
    </row>
    <row r="145" spans="1:13" ht="17.25" thickBot="1" x14ac:dyDescent="0.35">
      <c r="B145" s="4"/>
      <c r="C145" s="4" t="s">
        <v>177</v>
      </c>
      <c r="E145" s="4" t="s">
        <v>798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692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530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519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799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800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492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8</v>
      </c>
      <c r="M151">
        <f>SUM(I102:I151)</f>
        <v>13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640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801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664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802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8" t="s">
        <v>467</v>
      </c>
      <c r="F156" s="6" t="b">
        <f t="shared" si="32"/>
        <v>0</v>
      </c>
      <c r="G156" s="6">
        <f t="shared" si="33"/>
        <v>0</v>
      </c>
      <c r="H156" s="6" t="b">
        <f t="shared" si="34"/>
        <v>1</v>
      </c>
      <c r="I156" s="6">
        <f t="shared" si="35"/>
        <v>1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803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534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536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535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695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533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532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804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803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694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639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638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805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806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696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7" t="s">
        <v>534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807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808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664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698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536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8" t="s">
        <v>535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s="4" t="s">
        <v>534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807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693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531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486</v>
      </c>
      <c r="D183" s="4" t="s">
        <v>414</v>
      </c>
      <c r="E183" s="4" t="s">
        <v>536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809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810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699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6" t="s">
        <v>538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8" t="s">
        <v>537</v>
      </c>
      <c r="F188" s="6" t="b">
        <f t="shared" si="32"/>
        <v>1</v>
      </c>
      <c r="G188" s="6">
        <f t="shared" si="33"/>
        <v>1</v>
      </c>
      <c r="H188" s="6" t="b">
        <f t="shared" si="34"/>
        <v>1</v>
      </c>
      <c r="I188" s="6">
        <f t="shared" si="35"/>
        <v>1</v>
      </c>
    </row>
    <row r="189" spans="2:10" ht="17.25" thickBot="1" x14ac:dyDescent="0.35">
      <c r="B189" s="4"/>
      <c r="C189" s="4"/>
      <c r="D189" s="4"/>
      <c r="E189" s="4" t="s">
        <v>811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812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701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539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487</v>
      </c>
      <c r="E193" s="4" t="s">
        <v>805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8" t="s">
        <v>540</v>
      </c>
      <c r="F194" s="6" t="b">
        <f t="shared" si="32"/>
        <v>0</v>
      </c>
      <c r="G194" s="6">
        <f t="shared" si="33"/>
        <v>0</v>
      </c>
      <c r="H194" s="6" t="b">
        <f t="shared" si="34"/>
        <v>1</v>
      </c>
      <c r="I194" s="6">
        <f t="shared" si="35"/>
        <v>1</v>
      </c>
    </row>
    <row r="195" spans="1:13" ht="17.25" thickBot="1" x14ac:dyDescent="0.35">
      <c r="B195" s="4"/>
      <c r="C195" s="4"/>
      <c r="D195" s="4"/>
      <c r="E195" s="4" t="s">
        <v>813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697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814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488</v>
      </c>
      <c r="E198" s="4" t="s">
        <v>640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815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664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700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7</v>
      </c>
      <c r="M201">
        <f>SUM(I152:I201)</f>
        <v>10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6" t="s">
        <v>816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817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818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641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702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819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820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821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822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703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6" t="s">
        <v>541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823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641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8" t="s">
        <v>542</v>
      </c>
      <c r="F215" s="6" t="b">
        <f t="shared" si="49"/>
        <v>0</v>
      </c>
      <c r="G215" s="6">
        <f t="shared" si="50"/>
        <v>0</v>
      </c>
      <c r="H215" s="6" t="b">
        <f t="shared" si="51"/>
        <v>1</v>
      </c>
      <c r="I215" s="6">
        <f t="shared" si="52"/>
        <v>1</v>
      </c>
    </row>
    <row r="216" spans="2:10" ht="17.25" thickBot="1" x14ac:dyDescent="0.35">
      <c r="B216" s="5"/>
      <c r="C216" s="5"/>
      <c r="D216" s="5"/>
      <c r="E216" s="4" t="s">
        <v>704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642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824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643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825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705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7" t="s">
        <v>543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542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544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826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705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6" t="s">
        <v>827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8" t="s">
        <v>546</v>
      </c>
      <c r="F228" s="6" t="b">
        <f t="shared" si="49"/>
        <v>0</v>
      </c>
      <c r="G228" s="6">
        <f t="shared" si="50"/>
        <v>0</v>
      </c>
      <c r="H228" s="6" t="b">
        <f t="shared" si="51"/>
        <v>1</v>
      </c>
      <c r="I228" s="6">
        <f t="shared" si="52"/>
        <v>1</v>
      </c>
    </row>
    <row r="229" spans="2:10" ht="17.25" thickBot="1" x14ac:dyDescent="0.35">
      <c r="B229" s="4"/>
      <c r="C229" s="4"/>
      <c r="D229" s="4"/>
      <c r="E229" s="4" t="s">
        <v>547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644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706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545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828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829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830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707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7" t="s">
        <v>548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831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830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828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708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544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823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832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543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709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833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834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549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550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710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6</v>
      </c>
      <c r="M251">
        <f>SUM(I202:I251)</f>
        <v>6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553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8" t="s">
        <v>551</v>
      </c>
      <c r="F253" s="6" t="b">
        <f t="shared" si="49"/>
        <v>1</v>
      </c>
      <c r="G253" s="6">
        <f t="shared" si="50"/>
        <v>1</v>
      </c>
      <c r="H253" s="6" t="b">
        <f t="shared" si="51"/>
        <v>1</v>
      </c>
      <c r="I253" s="6">
        <f t="shared" si="52"/>
        <v>1</v>
      </c>
    </row>
    <row r="254" spans="1:13" ht="17.25" thickBot="1" x14ac:dyDescent="0.35">
      <c r="B254" s="4"/>
      <c r="C254" s="11"/>
      <c r="E254" s="4" t="s">
        <v>552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563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711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835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11" t="s">
        <v>468</v>
      </c>
      <c r="D258" s="11" t="s">
        <v>468</v>
      </c>
      <c r="E258" s="4" t="s">
        <v>836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11" t="s">
        <v>469</v>
      </c>
      <c r="D259" s="11" t="s">
        <v>469</v>
      </c>
      <c r="E259" s="4" t="s">
        <v>837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561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712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6" t="s">
        <v>838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471</v>
      </c>
      <c r="E263" s="4" t="s">
        <v>555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491</v>
      </c>
      <c r="D264" s="4" t="s">
        <v>470</v>
      </c>
      <c r="E264" s="8" t="s">
        <v>556</v>
      </c>
      <c r="F264" s="6" t="b">
        <f t="shared" si="66"/>
        <v>1</v>
      </c>
      <c r="G264" s="6">
        <f t="shared" si="67"/>
        <v>1</v>
      </c>
      <c r="H264" s="6" t="b">
        <f t="shared" si="68"/>
        <v>1</v>
      </c>
      <c r="I264" s="6">
        <f t="shared" si="69"/>
        <v>1</v>
      </c>
    </row>
    <row r="265" spans="2:10" ht="17.25" thickBot="1" x14ac:dyDescent="0.35">
      <c r="B265" s="4"/>
      <c r="C265" s="4"/>
      <c r="D265" s="4"/>
      <c r="E265" s="4" t="s">
        <v>558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494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470</v>
      </c>
      <c r="E267" s="6" t="s">
        <v>566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557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839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8" t="s">
        <v>556</v>
      </c>
      <c r="F270" s="6" t="b">
        <f t="shared" si="66"/>
        <v>0</v>
      </c>
      <c r="G270" s="6">
        <f t="shared" si="67"/>
        <v>0</v>
      </c>
      <c r="H270" s="6" t="b">
        <f t="shared" si="68"/>
        <v>1</v>
      </c>
      <c r="I270" s="6">
        <f t="shared" si="69"/>
        <v>1</v>
      </c>
    </row>
    <row r="271" spans="2:10" ht="17.25" thickBot="1" x14ac:dyDescent="0.35">
      <c r="B271" s="5"/>
      <c r="C271" s="5"/>
      <c r="D271" s="5"/>
      <c r="E271" s="4" t="s">
        <v>493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558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554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840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8" t="s">
        <v>559</v>
      </c>
      <c r="F275" s="6" t="b">
        <f t="shared" si="66"/>
        <v>0</v>
      </c>
      <c r="G275" s="6">
        <f t="shared" si="67"/>
        <v>0</v>
      </c>
      <c r="H275" s="6" t="b">
        <f t="shared" si="68"/>
        <v>1</v>
      </c>
      <c r="I275" s="6">
        <f t="shared" si="69"/>
        <v>1</v>
      </c>
    </row>
    <row r="276" spans="2:10" ht="17.25" thickBot="1" x14ac:dyDescent="0.35">
      <c r="B276" s="5"/>
      <c r="C276" s="5"/>
      <c r="D276" s="5"/>
      <c r="E276" s="4" t="s">
        <v>714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841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564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842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561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8" t="s">
        <v>715</v>
      </c>
      <c r="F281" s="6" t="b">
        <f t="shared" si="66"/>
        <v>0</v>
      </c>
      <c r="G281" s="6">
        <f t="shared" si="67"/>
        <v>0</v>
      </c>
      <c r="H281" s="6" t="b">
        <f t="shared" si="68"/>
        <v>1</v>
      </c>
      <c r="I281" s="6">
        <f t="shared" si="69"/>
        <v>1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6" t="s">
        <v>562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561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8" t="s">
        <v>560</v>
      </c>
      <c r="F284" s="6" t="b">
        <f t="shared" si="66"/>
        <v>0</v>
      </c>
      <c r="G284" s="6">
        <f t="shared" si="67"/>
        <v>0</v>
      </c>
      <c r="H284" s="6" t="b">
        <f t="shared" si="68"/>
        <v>1</v>
      </c>
      <c r="I284" s="6">
        <f t="shared" si="69"/>
        <v>1</v>
      </c>
    </row>
    <row r="285" spans="2:10" ht="17.25" thickBot="1" x14ac:dyDescent="0.35">
      <c r="B285" s="4"/>
      <c r="C285" s="4"/>
      <c r="D285" s="4"/>
      <c r="E285" s="4" t="s">
        <v>551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716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6" t="s">
        <v>842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564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551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8" t="s">
        <v>563</v>
      </c>
      <c r="F290" s="6" t="b">
        <f t="shared" si="66"/>
        <v>0</v>
      </c>
      <c r="G290" s="6">
        <f t="shared" si="67"/>
        <v>0</v>
      </c>
      <c r="H290" s="6" t="b">
        <f t="shared" si="68"/>
        <v>1</v>
      </c>
      <c r="I290" s="6">
        <f t="shared" si="69"/>
        <v>1</v>
      </c>
    </row>
    <row r="291" spans="1:13" ht="17.25" thickBot="1" x14ac:dyDescent="0.35">
      <c r="B291" s="5"/>
      <c r="C291" s="5"/>
      <c r="D291" s="5"/>
      <c r="E291" s="4" t="s">
        <v>713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565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4" t="s">
        <v>645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843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556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8" t="s">
        <v>717</v>
      </c>
      <c r="F296" s="6" t="b">
        <f t="shared" si="66"/>
        <v>0</v>
      </c>
      <c r="G296" s="6">
        <f t="shared" si="67"/>
        <v>0</v>
      </c>
      <c r="H296" s="6" t="b">
        <f t="shared" si="68"/>
        <v>1</v>
      </c>
      <c r="I296" s="6">
        <f t="shared" si="69"/>
        <v>1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566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844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845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846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718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8</v>
      </c>
      <c r="M301">
        <f>SUM(I252:I301)</f>
        <v>12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6" t="s">
        <v>578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567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569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8" t="s">
        <v>568</v>
      </c>
      <c r="F305" s="6" t="b">
        <f t="shared" si="66"/>
        <v>0</v>
      </c>
      <c r="G305" s="6">
        <f t="shared" si="67"/>
        <v>0</v>
      </c>
      <c r="H305" s="6" t="b">
        <f t="shared" si="68"/>
        <v>1</v>
      </c>
      <c r="I305" s="6">
        <f t="shared" si="69"/>
        <v>1</v>
      </c>
    </row>
    <row r="306" spans="2:10" ht="17.25" thickBot="1" x14ac:dyDescent="0.35">
      <c r="B306" s="5"/>
      <c r="C306" s="5"/>
      <c r="D306" s="5"/>
      <c r="E306" s="4" t="s">
        <v>719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7" t="s">
        <v>568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9"/>
        <v>1</v>
      </c>
    </row>
    <row r="308" spans="2:10" ht="17.25" thickBot="1" x14ac:dyDescent="0.35">
      <c r="B308" s="4"/>
      <c r="C308" s="4" t="s">
        <v>231</v>
      </c>
      <c r="D308" s="4" t="s">
        <v>357</v>
      </c>
      <c r="E308" s="4" t="s">
        <v>578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847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848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720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576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571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849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650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721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646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4" t="s">
        <v>850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4" t="s">
        <v>851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576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8" t="s">
        <v>722</v>
      </c>
      <c r="F321" s="6" t="b">
        <f t="shared" si="66"/>
        <v>0</v>
      </c>
      <c r="G321" s="6">
        <f t="shared" si="67"/>
        <v>0</v>
      </c>
      <c r="H321" s="6" t="b">
        <f t="shared" si="68"/>
        <v>1</v>
      </c>
      <c r="I321" s="6">
        <f t="shared" si="69"/>
        <v>1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489</v>
      </c>
      <c r="E322" s="7" t="s">
        <v>573</v>
      </c>
      <c r="F322" s="6" t="b">
        <f t="shared" si="66"/>
        <v>1</v>
      </c>
      <c r="G322" s="6">
        <f t="shared" si="67"/>
        <v>1</v>
      </c>
      <c r="H322" s="6" t="b">
        <f t="shared" si="68"/>
        <v>1</v>
      </c>
      <c r="I322" s="6">
        <f t="shared" si="69"/>
        <v>1</v>
      </c>
    </row>
    <row r="323" spans="2:10" ht="17.25" thickBot="1" x14ac:dyDescent="0.35">
      <c r="B323" s="4"/>
      <c r="C323" s="4" t="s">
        <v>239</v>
      </c>
      <c r="D323" s="4" t="s">
        <v>361</v>
      </c>
      <c r="E323" s="4" t="s">
        <v>852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853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854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723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490</v>
      </c>
      <c r="E327" s="6" t="s">
        <v>650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4" t="s">
        <v>855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852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8" t="s">
        <v>575</v>
      </c>
      <c r="F330" s="6" t="b">
        <f t="shared" si="83"/>
        <v>0</v>
      </c>
      <c r="G330" s="6">
        <f t="shared" si="84"/>
        <v>0</v>
      </c>
      <c r="H330" s="6" t="b">
        <f t="shared" si="85"/>
        <v>1</v>
      </c>
      <c r="I330" s="6">
        <f t="shared" si="86"/>
        <v>1</v>
      </c>
    </row>
    <row r="331" spans="2:10" ht="17.25" thickBot="1" x14ac:dyDescent="0.35">
      <c r="B331" s="5"/>
      <c r="C331" s="5"/>
      <c r="D331" s="5"/>
      <c r="E331" s="4" t="s">
        <v>724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6" t="s">
        <v>850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4" t="s">
        <v>572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577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360</v>
      </c>
      <c r="E335" s="4" t="s">
        <v>574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725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7" t="s">
        <v>647</v>
      </c>
      <c r="F337" s="6" t="b">
        <f t="shared" si="83"/>
        <v>1</v>
      </c>
      <c r="G337" s="6">
        <f t="shared" si="84"/>
        <v>1</v>
      </c>
      <c r="H337" s="6" t="b">
        <f t="shared" si="85"/>
        <v>1</v>
      </c>
      <c r="I337" s="6">
        <f t="shared" si="86"/>
        <v>1</v>
      </c>
    </row>
    <row r="338" spans="1:13" ht="17.25" thickBot="1" x14ac:dyDescent="0.35">
      <c r="B338" s="4"/>
      <c r="C338" s="4"/>
      <c r="D338" s="4" t="s">
        <v>365</v>
      </c>
      <c r="E338" s="4" t="s">
        <v>853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852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572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726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856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847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4" t="s">
        <v>848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649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495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6" t="s">
        <v>648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4" t="s">
        <v>650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570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579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8" t="s">
        <v>727</v>
      </c>
      <c r="F351" s="6" t="b">
        <f t="shared" si="83"/>
        <v>0</v>
      </c>
      <c r="G351" s="6">
        <f t="shared" si="84"/>
        <v>0</v>
      </c>
      <c r="H351" s="6" t="b">
        <f t="shared" si="85"/>
        <v>1</v>
      </c>
      <c r="I351" s="6">
        <f t="shared" si="86"/>
        <v>1</v>
      </c>
      <c r="J351">
        <f t="shared" ref="J351" si="92">IF(hascolor(E347:E351,$L$5)=TRUE, 1, 0)</f>
        <v>1</v>
      </c>
      <c r="K351">
        <f>SUM(J302:J351)</f>
        <v>9</v>
      </c>
      <c r="M351">
        <f>SUM(I302:I351)</f>
        <v>10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6" t="s">
        <v>857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858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859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584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8" t="s">
        <v>729</v>
      </c>
      <c r="F356" s="6" t="b">
        <f t="shared" si="83"/>
        <v>0</v>
      </c>
      <c r="G356" s="6">
        <f t="shared" si="84"/>
        <v>0</v>
      </c>
      <c r="H356" s="6" t="b">
        <f t="shared" si="85"/>
        <v>1</v>
      </c>
      <c r="I356" s="6">
        <f t="shared" si="86"/>
        <v>1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6" t="s">
        <v>859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4" t="s">
        <v>584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581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651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728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6" t="s">
        <v>860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8" t="s">
        <v>582</v>
      </c>
      <c r="F363" s="6" t="b">
        <f t="shared" si="83"/>
        <v>1</v>
      </c>
      <c r="G363" s="6">
        <f t="shared" si="84"/>
        <v>1</v>
      </c>
      <c r="H363" s="6" t="b">
        <f t="shared" si="85"/>
        <v>1</v>
      </c>
      <c r="I363" s="6">
        <f t="shared" si="86"/>
        <v>1</v>
      </c>
    </row>
    <row r="364" spans="2:10" ht="17.25" thickBot="1" x14ac:dyDescent="0.35">
      <c r="B364" s="4"/>
      <c r="C364" s="4" t="s">
        <v>261</v>
      </c>
      <c r="D364" s="4"/>
      <c r="E364" s="4" t="s">
        <v>861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857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660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6" t="s">
        <v>862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584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8" t="s">
        <v>583</v>
      </c>
      <c r="F369" s="6" t="b">
        <f t="shared" si="83"/>
        <v>0</v>
      </c>
      <c r="G369" s="6">
        <f t="shared" si="84"/>
        <v>0</v>
      </c>
      <c r="H369" s="6" t="b">
        <f t="shared" si="85"/>
        <v>1</v>
      </c>
      <c r="I369" s="6">
        <f t="shared" si="86"/>
        <v>1</v>
      </c>
    </row>
    <row r="370" spans="2:10" ht="17.25" thickBot="1" x14ac:dyDescent="0.35">
      <c r="B370" s="4"/>
      <c r="C370" s="4" t="s">
        <v>265</v>
      </c>
      <c r="E370" s="4" t="s">
        <v>580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625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585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4" t="s">
        <v>863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8" t="s">
        <v>586</v>
      </c>
      <c r="F374" s="6" t="b">
        <f t="shared" si="83"/>
        <v>0</v>
      </c>
      <c r="G374" s="6">
        <f t="shared" si="84"/>
        <v>0</v>
      </c>
      <c r="H374" s="6" t="b">
        <f t="shared" si="85"/>
        <v>1</v>
      </c>
      <c r="I374" s="6">
        <f t="shared" si="86"/>
        <v>1</v>
      </c>
    </row>
    <row r="375" spans="2:10" ht="17.25" thickBot="1" x14ac:dyDescent="0.35">
      <c r="B375" s="4"/>
      <c r="C375" s="4"/>
      <c r="D375" s="4"/>
      <c r="E375" s="4" t="s">
        <v>864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661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652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582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8" t="s">
        <v>587</v>
      </c>
      <c r="F379" s="6" t="b">
        <f t="shared" si="83"/>
        <v>0</v>
      </c>
      <c r="G379" s="6">
        <f t="shared" si="84"/>
        <v>0</v>
      </c>
      <c r="H379" s="6" t="b">
        <f t="shared" si="85"/>
        <v>1</v>
      </c>
      <c r="I379" s="6">
        <f t="shared" si="86"/>
        <v>1</v>
      </c>
    </row>
    <row r="380" spans="2:10" ht="17.25" thickBot="1" x14ac:dyDescent="0.35">
      <c r="B380" s="4"/>
      <c r="C380" s="4"/>
      <c r="D380" s="4"/>
      <c r="E380" s="4" t="s">
        <v>591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730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588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865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665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866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731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589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590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588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867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731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591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862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653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868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496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592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862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666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652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8" t="s">
        <v>732</v>
      </c>
      <c r="F401" s="6" t="b">
        <f t="shared" si="100"/>
        <v>0</v>
      </c>
      <c r="G401" s="6">
        <f t="shared" si="101"/>
        <v>0</v>
      </c>
      <c r="H401" s="6" t="b">
        <f t="shared" si="102"/>
        <v>1</v>
      </c>
      <c r="I401" s="6">
        <f t="shared" si="103"/>
        <v>1</v>
      </c>
      <c r="J401">
        <f t="shared" ref="J401" si="106">IF(hascolor(E397:E401,$L$5)=TRUE, 1, 0)</f>
        <v>1</v>
      </c>
      <c r="K401">
        <f>SUM(J352:J401)</f>
        <v>8</v>
      </c>
      <c r="M401">
        <f>SUM(I352:I401)</f>
        <v>12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7" t="s">
        <v>593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654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869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870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733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596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595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602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597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734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6" t="s">
        <v>599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4" t="s">
        <v>871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600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8" t="s">
        <v>598</v>
      </c>
      <c r="F415" s="6" t="b">
        <f t="shared" si="100"/>
        <v>0</v>
      </c>
      <c r="G415" s="6">
        <f t="shared" si="101"/>
        <v>0</v>
      </c>
      <c r="H415" s="6" t="b">
        <f t="shared" si="102"/>
        <v>1</v>
      </c>
      <c r="I415" s="6">
        <f t="shared" si="103"/>
        <v>1</v>
      </c>
    </row>
    <row r="416" spans="1:13" ht="17.25" thickBot="1" x14ac:dyDescent="0.35">
      <c r="B416" s="5"/>
      <c r="C416" s="5"/>
      <c r="D416" s="5"/>
      <c r="E416" s="4" t="s">
        <v>735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7" t="s">
        <v>601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103"/>
        <v>1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872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873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874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737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875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876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877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594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739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6" t="s">
        <v>878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655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879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880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740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603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881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882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883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738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605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8" t="s">
        <v>604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456</v>
      </c>
      <c r="E439" s="4" t="s">
        <v>606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656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736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607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878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884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657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741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6" t="s">
        <v>659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8" t="s">
        <v>608</v>
      </c>
      <c r="F448" s="6" t="b">
        <f t="shared" si="100"/>
        <v>0</v>
      </c>
      <c r="G448" s="6">
        <f t="shared" si="101"/>
        <v>0</v>
      </c>
      <c r="H448" s="6" t="b">
        <f t="shared" si="102"/>
        <v>1</v>
      </c>
      <c r="I448" s="6">
        <f t="shared" si="103"/>
        <v>1</v>
      </c>
    </row>
    <row r="449" spans="1:13" ht="17.25" thickBot="1" x14ac:dyDescent="0.35">
      <c r="B449" s="4"/>
      <c r="C449" s="4"/>
      <c r="D449" s="4"/>
      <c r="E449" s="4" t="s">
        <v>658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885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742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7</v>
      </c>
      <c r="M451">
        <f>SUM(I402:I451)</f>
        <v>9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611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8" t="s">
        <v>609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9"/>
        <v>1</v>
      </c>
    </row>
    <row r="454" spans="1:13" ht="17.25" thickBot="1" x14ac:dyDescent="0.35">
      <c r="B454" s="4"/>
      <c r="C454" s="4" t="s">
        <v>452</v>
      </c>
      <c r="E454" s="4" t="s">
        <v>610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620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745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612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616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620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622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744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614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8" t="s">
        <v>615</v>
      </c>
      <c r="F463" s="6" t="b">
        <f t="shared" si="116"/>
        <v>0</v>
      </c>
      <c r="G463" s="6">
        <f t="shared" si="117"/>
        <v>0</v>
      </c>
      <c r="H463" s="6" t="b">
        <f t="shared" si="118"/>
        <v>1</v>
      </c>
      <c r="I463" s="6">
        <f t="shared" si="119"/>
        <v>1</v>
      </c>
    </row>
    <row r="464" spans="1:13" ht="17.25" thickBot="1" x14ac:dyDescent="0.35">
      <c r="B464" s="4"/>
      <c r="C464" s="4"/>
      <c r="D464" s="4"/>
      <c r="E464" s="4" t="s">
        <v>613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623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746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613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8" t="s">
        <v>616</v>
      </c>
      <c r="F468" s="6" t="b">
        <f t="shared" si="116"/>
        <v>1</v>
      </c>
      <c r="G468" s="6">
        <f t="shared" si="117"/>
        <v>1</v>
      </c>
      <c r="H468" s="6" t="b">
        <f t="shared" si="118"/>
        <v>1</v>
      </c>
      <c r="I468" s="6">
        <f t="shared" si="119"/>
        <v>1</v>
      </c>
    </row>
    <row r="469" spans="2:10" ht="17.25" thickBot="1" x14ac:dyDescent="0.35">
      <c r="B469" s="4"/>
      <c r="C469" s="4"/>
      <c r="D469" s="4"/>
      <c r="E469" s="4" t="s">
        <v>609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624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748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6" t="s">
        <v>613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4" t="s">
        <v>623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886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621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745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6" t="s">
        <v>618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609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613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8" t="s">
        <v>616</v>
      </c>
      <c r="F480" s="6" t="b">
        <f t="shared" si="116"/>
        <v>0</v>
      </c>
      <c r="G480" s="6">
        <f t="shared" si="117"/>
        <v>0</v>
      </c>
      <c r="H480" s="6" t="b">
        <f t="shared" si="118"/>
        <v>1</v>
      </c>
      <c r="I480" s="6">
        <f t="shared" si="119"/>
        <v>1</v>
      </c>
    </row>
    <row r="481" spans="2:10" ht="17.25" thickBot="1" x14ac:dyDescent="0.35">
      <c r="B481" s="5"/>
      <c r="C481" s="5"/>
      <c r="D481" s="5"/>
      <c r="E481" s="4" t="s">
        <v>747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619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4" t="s">
        <v>616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624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887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743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620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4" t="s">
        <v>622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8" t="s">
        <v>617</v>
      </c>
      <c r="F489" s="6" t="b">
        <f t="shared" si="116"/>
        <v>0</v>
      </c>
      <c r="G489" s="6">
        <f t="shared" si="117"/>
        <v>0</v>
      </c>
      <c r="H489" s="6" t="b">
        <f t="shared" si="118"/>
        <v>1</v>
      </c>
      <c r="I489" s="6">
        <f t="shared" si="119"/>
        <v>1</v>
      </c>
    </row>
    <row r="490" spans="2:10" ht="17.25" thickBot="1" x14ac:dyDescent="0.35">
      <c r="B490" s="4"/>
      <c r="C490" s="4"/>
      <c r="D490" s="4"/>
      <c r="E490" s="4" t="s">
        <v>888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749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6" t="s">
        <v>613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614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616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609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464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6" t="s">
        <v>609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8" t="s">
        <v>616</v>
      </c>
      <c r="F498" s="6" t="b">
        <f t="shared" si="116"/>
        <v>0</v>
      </c>
      <c r="G498" s="6">
        <f t="shared" si="117"/>
        <v>0</v>
      </c>
      <c r="H498" s="6" t="b">
        <f t="shared" si="118"/>
        <v>1</v>
      </c>
      <c r="I498" s="6">
        <f t="shared" si="119"/>
        <v>1</v>
      </c>
    </row>
    <row r="499" spans="2:13" ht="17.25" thickBot="1" x14ac:dyDescent="0.35">
      <c r="B499" s="4"/>
      <c r="C499" s="4"/>
      <c r="D499" s="4"/>
      <c r="E499" s="4" t="s">
        <v>613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623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749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8</v>
      </c>
      <c r="M501">
        <f>SUM(I452:I501)</f>
        <v>11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98</v>
      </c>
      <c r="K503">
        <f>J502/100</f>
        <v>0</v>
      </c>
    </row>
    <row r="504" spans="2:13" x14ac:dyDescent="0.3">
      <c r="G504">
        <f>I503/G503%</f>
        <v>47.804878048780495</v>
      </c>
      <c r="I504" s="13"/>
      <c r="J504">
        <f>SUM(J2:J501)</f>
        <v>71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2025-07-15T08:36:28Z</dcterms:modified>
</cp:coreProperties>
</file>